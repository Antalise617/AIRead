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E:\3DKDDH\sky3d-cfg\LubanTools\DesignerConfigs\Datas\"/>
    </mc:Choice>
  </mc:AlternateContent>
  <xr:revisionPtr revIDLastSave="0" documentId="13_ncr:1_{FB2E06A8-FC78-47FB-96A3-8F526AD1B52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calcPr calcId="181029"/>
</workbook>
</file>

<file path=xl/calcChain.xml><?xml version="1.0" encoding="utf-8"?>
<calcChain xmlns="http://schemas.openxmlformats.org/spreadsheetml/2006/main">
  <c r="C19" i="1" l="1"/>
  <c r="B19" i="1" s="1"/>
  <c r="C18" i="1"/>
  <c r="B18" i="1" s="1"/>
  <c r="C17" i="1"/>
  <c r="B17" i="1" s="1"/>
  <c r="C16" i="1"/>
  <c r="B16" i="1"/>
  <c r="C15" i="1"/>
  <c r="B15" i="1" s="1"/>
  <c r="C14" i="1"/>
  <c r="B14" i="1" s="1"/>
  <c r="C13" i="1"/>
  <c r="B13" i="1" s="1"/>
  <c r="C12" i="1"/>
  <c r="B12" i="1" s="1"/>
  <c r="C11" i="1"/>
  <c r="B11" i="1" s="1"/>
  <c r="C10" i="1"/>
  <c r="B10" i="1"/>
  <c r="C9" i="1"/>
  <c r="B9" i="1" s="1"/>
  <c r="C8" i="1"/>
  <c r="B8" i="1" s="1"/>
  <c r="C7" i="1"/>
  <c r="B7" i="1"/>
  <c r="C6" i="1"/>
  <c r="B6" i="1" s="1"/>
  <c r="C5" i="1"/>
  <c r="B5" i="1" s="1"/>
  <c r="C4" i="1"/>
  <c r="B4" i="1" s="1"/>
</calcChain>
</file>

<file path=xl/sharedStrings.xml><?xml version="1.0" encoding="utf-8"?>
<sst xmlns="http://schemas.openxmlformats.org/spreadsheetml/2006/main" count="171" uniqueCount="117">
  <si>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</si>
  <si>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</si>
  <si>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</si>
  <si>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</si>
  <si>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</si>
  <si>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</si>
  <si>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</si>
  <si>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</si>
  <si>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</si>
  <si>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patch_input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</si>
  <si>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</si>
  <si>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</si>
  <si>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</si>
  <si>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</si>
  <si>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</si>
  <si>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</si>
  <si>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</si>
  <si>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</si>
  <si>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</si>
  <si>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</si>
  <si>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</si>
  <si>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分支文件列表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</si>
  <si>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</si>
  <si>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</si>
  <si>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</si>
  <si>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为空的话自动取value_type中第一个字段,多主键联合索引为key1+key2,多主键独立索引为key1,key2</t>
  </si>
  <si>
    <t>取值one|map|list，为空自动为map</t>
  </si>
  <si>
    <t>取值c|s|e，可以有多个，以逗号','分隔。空则表示属于所有分组</t>
  </si>
  <si>
    <t>用于本地化。可以多个，以逗号分隔</t>
  </si>
  <si>
    <t>默认为 &lt;module&gt;_&lt;name&gt;.&lt;suffix&gt;</t>
  </si>
  <si>
    <t>TRUE</t>
  </si>
  <si>
    <t>Airship_蒸汽飞艇表.xlsx</t>
  </si>
  <si>
    <t>Build_建筑表.xlsx</t>
  </si>
  <si>
    <t>BuildingLevel_建筑等级表.xlsx</t>
  </si>
  <si>
    <t>Item_道具表.xlsx</t>
  </si>
  <si>
    <t>MapBoundary_地图边界表.xlsx</t>
  </si>
  <si>
    <t>QuestCondition_任务条件.xlsx</t>
  </si>
  <si>
    <t>Task_任务表.xlsx</t>
  </si>
  <si>
    <t>BuildingUnlock_建筑解锁表.xlsx</t>
  </si>
  <si>
    <t>GameConfig_游戏配置.xlsx</t>
  </si>
  <si>
    <t>Prosperity_繁荣度.xlsx</t>
  </si>
  <si>
    <t>Employee_员工表.xlsx</t>
  </si>
  <si>
    <t>Tourist_游客.xlsx</t>
  </si>
  <si>
    <t>Island_岛屿表.xlsx</t>
  </si>
  <si>
    <t>IslandLevel_岛屿等级表.xlsx</t>
  </si>
  <si>
    <t>GuideStep_新手引导表.xlsx</t>
  </si>
  <si>
    <t>zstime.TbAdjacencyCondition</t>
  </si>
  <si>
    <t>AdjacencyCondition</t>
  </si>
  <si>
    <t>AdjacencyCondition_邻接条件定义表.xlsx</t>
  </si>
  <si>
    <t>zstime.TbAdjacencyRule</t>
  </si>
  <si>
    <t>AdjacencyRule</t>
  </si>
  <si>
    <t>AdjacencyRule_邻接规则主表.xlsx</t>
  </si>
  <si>
    <t>zstime.TbAirship</t>
  </si>
  <si>
    <t>Airship</t>
  </si>
  <si>
    <t>zstime.TbBoardConfig</t>
  </si>
  <si>
    <t>BoardConfig</t>
  </si>
  <si>
    <t>BoardConfig_棋盘配置.xlsx</t>
  </si>
  <si>
    <t>zstime.TbBuildCondition</t>
  </si>
  <si>
    <t>BuildCondition</t>
  </si>
  <si>
    <t>BuildCondition_建造条件表.xlsx</t>
  </si>
  <si>
    <t>zstime.TbBuildLv</t>
  </si>
  <si>
    <t>BuildLv</t>
  </si>
  <si>
    <t>BuildLv_建筑升级表.xlsx</t>
  </si>
  <si>
    <t>zstime.TbBuildRush</t>
  </si>
  <si>
    <t>BuildRush</t>
  </si>
  <si>
    <t>BuildRush_建筑加速表.xlsx</t>
  </si>
  <si>
    <t>zstime.TbBuild</t>
  </si>
  <si>
    <t>Build</t>
  </si>
  <si>
    <t>zstime.TbDialog</t>
  </si>
  <si>
    <t>Dialog</t>
  </si>
  <si>
    <t>Dialog_对话.xlsx</t>
  </si>
  <si>
    <t>zstime.TbEnemy</t>
  </si>
  <si>
    <t>Enemy</t>
  </si>
  <si>
    <t>Enemy_敌人表.xlsx</t>
  </si>
  <si>
    <t>zstime.TbFormula</t>
  </si>
  <si>
    <t>Formula</t>
  </si>
  <si>
    <t>Formula_公式表.xlsx</t>
  </si>
  <si>
    <t>zstime.TbGoblinWorker</t>
  </si>
  <si>
    <t>GoblinWorker</t>
  </si>
  <si>
    <t>GoblinWorker_地精工人表.xlsx</t>
  </si>
  <si>
    <t>zstime.TbItem</t>
  </si>
  <si>
    <t>Item</t>
  </si>
  <si>
    <t>zstime.TbLevel</t>
  </si>
  <si>
    <t>Level</t>
  </si>
  <si>
    <t>Level_关卡表.xlsx</t>
  </si>
  <si>
    <t>zstime.TbMapBoundary</t>
  </si>
  <si>
    <t>MapBoundary</t>
  </si>
  <si>
    <t>zstime.TbMsgCode</t>
  </si>
  <si>
    <t>MsgCode</t>
  </si>
  <si>
    <t>MsgCode_消息码.xlsx</t>
  </si>
  <si>
    <t>zstime.TbOpen</t>
  </si>
  <si>
    <t>Open</t>
  </si>
  <si>
    <t>Open_系统开启表.xlsx</t>
  </si>
  <si>
    <t>zstime.TbPilot</t>
  </si>
  <si>
    <t>Pilot</t>
  </si>
  <si>
    <t>Pilot_飞行员资质表.xlsx</t>
  </si>
  <si>
    <t>zstime.TbQuestCondition</t>
  </si>
  <si>
    <t>QuestCondition</t>
  </si>
  <si>
    <t>zstime.TbQuest</t>
  </si>
  <si>
    <t>Quest</t>
  </si>
  <si>
    <t>Quest_任务表.xlsx</t>
  </si>
  <si>
    <t>zstime.TbSence</t>
  </si>
  <si>
    <t>Sence</t>
  </si>
  <si>
    <t>Sence_场景表.xlsx</t>
  </si>
  <si>
    <t>zstime.TbSteamHub</t>
  </si>
  <si>
    <t>SteamHub</t>
  </si>
  <si>
    <t>SteamHub_蒸汽枢纽.xlsx</t>
  </si>
  <si>
    <t>zstime.TbTextDY</t>
  </si>
  <si>
    <t>TextDY</t>
  </si>
  <si>
    <t>TextDY_动态读取文本.xlsx</t>
  </si>
  <si>
    <t>zstime.TbTileGrade</t>
  </si>
  <si>
    <t>TileGrade</t>
  </si>
  <si>
    <t>TileGrade_土质养成表.xlsx</t>
  </si>
  <si>
    <t>zstime.TbTile</t>
  </si>
  <si>
    <t>Tile</t>
  </si>
  <si>
    <t>Tile_地块表.xlsx</t>
  </si>
  <si>
    <t>BridgeConfig_桥梁表.xlsx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</si>
</sst>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宋体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workbookViewId="0">
      <selection activeCell="D25" sqref="D25"/>
    </sheetView>
  </sheetViews>
  <sheetFormatPr defaultColWidth="9" defaultRowHeight="14.25" x14ac:dyDescent="0.15"/>
  <cols>
    <col min="2" max="2" width="30.5" customWidth="1"/>
    <col min="3" max="3" width="20.5" customWidth="1"/>
    <col min="4" max="4" width="60.5" customWidth="1"/>
  </cols>
  <sheetData>
    <row r="1" spans="1:1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1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L2" t="s">
        <v>22</v>
      </c>
    </row>
    <row r="3" spans="1:12" x14ac:dyDescent="0.15">
      <c r="A3" t="s">
        <v>12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J3" t="s">
        <v>28</v>
      </c>
      <c r="L3" t="s">
        <v>29</v>
      </c>
    </row>
    <row r="4" spans="1:12" x14ac:dyDescent="0.15">
      <c r="A4" t="s">
        <v>12</v>
      </c>
      <c r="B4" t="str">
        <f>"zs"&amp;".Tb"&amp;RIGHT(C4,LEN(C4))</f>
        <v>zs.TbAirship</v>
      </c>
      <c r="C4" s="1" t="str">
        <f>IF(ISNUMBER(FIND("_",LEFT(E4,FIND("@",SUBSTITUTE(E4,"_","@",LEN(E4)-LEN(SUBSTITUTE(E4,"_",""))))-1))),SUBSTITUTE(PROPER(SUBSTITUTE(LEFT(E4,FIND("@",SUBSTITUTE(E4,"_","@",LEN(E4)-LEN(SUBSTITUTE(E4,"_",""))))-1),"_"," "))," ",""),UPPER(LEFT(LEFT(E4,FIND("@",SUBSTITUTE(E4,"_","@",LEN(E4)-LEN(SUBSTITUTE(E4,"_",""))))-1),1))&amp;MID(LEFT(E4,FIND("@",SUBSTITUTE(E4,"_","@",LEN(E4)-LEN(SUBSTITUTE(E4,"_",""))))-1),2,999))</f>
        <v>Airship</v>
      </c>
      <c r="D4" t="s">
        <v>30</v>
      </c>
      <c r="E4" t="s">
        <v>31</v>
      </c>
    </row>
    <row r="5" spans="1:12" x14ac:dyDescent="0.15">
      <c r="B5" t="str">
        <f t="shared" ref="B5:B8" si="0">"zs"&amp;".Tb"&amp;RIGHT(C5,LEN(C5))</f>
        <v>zs.TbBuild</v>
      </c>
      <c r="C5" s="1" t="str">
        <f t="shared" ref="C5:C14" si="1">IF(ISNUMBER(FIND("_",LEFT(E5,FIND("@",SUBSTITUTE(E5,"_","@",LEN(E5)-LEN(SUBSTITUTE(E5,"_",""))))-1))),SUBSTITUTE(PROPER(SUBSTITUTE(LEFT(E5,FIND("@",SUBSTITUTE(E5,"_","@",LEN(E5)-LEN(SUBSTITUTE(E5,"_",""))))-1),"_"," "))," ",""),UPPER(LEFT(LEFT(E5,FIND("@",SUBSTITUTE(E5,"_","@",LEN(E5)-LEN(SUBSTITUTE(E5,"_",""))))-1),1))&amp;MID(LEFT(E5,FIND("@",SUBSTITUTE(E5,"_","@",LEN(E5)-LEN(SUBSTITUTE(E5,"_",""))))-1),2,999))</f>
        <v>Build</v>
      </c>
      <c r="D5" t="s">
        <v>30</v>
      </c>
      <c r="E5" t="s">
        <v>32</v>
      </c>
    </row>
    <row r="6" spans="1:12" x14ac:dyDescent="0.15">
      <c r="B6" t="str">
        <f t="shared" si="0"/>
        <v>zs.TbBuildingLevel</v>
      </c>
      <c r="C6" s="1" t="str">
        <f t="shared" si="1"/>
        <v>BuildingLevel</v>
      </c>
      <c r="D6" t="s">
        <v>30</v>
      </c>
      <c r="E6" t="s">
        <v>33</v>
      </c>
    </row>
    <row r="7" spans="1:12" x14ac:dyDescent="0.15">
      <c r="B7" t="str">
        <f t="shared" si="0"/>
        <v>zs.TbItem</v>
      </c>
      <c r="C7" s="1" t="str">
        <f t="shared" si="1"/>
        <v>Item</v>
      </c>
      <c r="D7" t="s">
        <v>30</v>
      </c>
      <c r="E7" t="s">
        <v>34</v>
      </c>
    </row>
    <row r="8" spans="1:12" x14ac:dyDescent="0.15">
      <c r="A8" t="s">
        <v>12</v>
      </c>
      <c r="B8" t="str">
        <f t="shared" si="0"/>
        <v>zs.TbMapBoundary</v>
      </c>
      <c r="C8" s="1" t="str">
        <f t="shared" si="1"/>
        <v>MapBoundary</v>
      </c>
      <c r="D8" t="s">
        <v>30</v>
      </c>
      <c r="E8" t="s">
        <v>35</v>
      </c>
    </row>
    <row r="9" spans="1:12" x14ac:dyDescent="0.15">
      <c r="A9" t="s">
        <v>12</v>
      </c>
      <c r="B9" t="str">
        <f t="shared" ref="B9:B14" si="2">"zs"&amp;".Tb"&amp;RIGHT(C9,LEN(C9))</f>
        <v>zs.TbQuestCondition</v>
      </c>
      <c r="C9" s="1" t="str">
        <f t="shared" si="1"/>
        <v>QuestCondition</v>
      </c>
      <c r="D9" t="s">
        <v>30</v>
      </c>
      <c r="E9" t="s">
        <v>36</v>
      </c>
    </row>
    <row r="10" spans="1:12" x14ac:dyDescent="0.15">
      <c r="A10" t="s">
        <v>12</v>
      </c>
      <c r="B10" t="str">
        <f t="shared" si="2"/>
        <v>zs.TbTask</v>
      </c>
      <c r="C10" s="1" t="str">
        <f t="shared" si="1"/>
        <v>Task</v>
      </c>
      <c r="D10" t="s">
        <v>30</v>
      </c>
      <c r="E10" t="s">
        <v>37</v>
      </c>
    </row>
    <row r="11" spans="1:12" x14ac:dyDescent="0.15">
      <c r="A11" t="s">
        <v>12</v>
      </c>
      <c r="B11" t="str">
        <f t="shared" si="2"/>
        <v>zs.TbGameConfig</v>
      </c>
      <c r="C11" s="1" t="str">
        <f t="shared" si="1"/>
        <v>GameConfig</v>
      </c>
      <c r="D11" t="s">
        <v>30</v>
      </c>
      <c r="E11" t="s">
        <v>39</v>
      </c>
    </row>
    <row r="12" spans="1:12" x14ac:dyDescent="0.15">
      <c r="A12" t="s">
        <v>12</v>
      </c>
      <c r="B12" t="str">
        <f t="shared" si="2"/>
        <v>zs.TbProsperity</v>
      </c>
      <c r="C12" s="1" t="str">
        <f t="shared" si="1"/>
        <v>Prosperity</v>
      </c>
      <c r="D12" t="s">
        <v>30</v>
      </c>
      <c r="E12" t="s">
        <v>40</v>
      </c>
    </row>
    <row r="13" spans="1:12" x14ac:dyDescent="0.15">
      <c r="A13" t="s">
        <v>12</v>
      </c>
      <c r="B13" t="str">
        <f t="shared" si="2"/>
        <v>zs.TbEmployee</v>
      </c>
      <c r="C13" s="1" t="str">
        <f t="shared" si="1"/>
        <v>Employee</v>
      </c>
      <c r="D13" t="s">
        <v>30</v>
      </c>
      <c r="E13" t="s">
        <v>41</v>
      </c>
    </row>
    <row r="14" spans="1:12" x14ac:dyDescent="0.15">
      <c r="A14" t="s">
        <v>12</v>
      </c>
      <c r="B14" t="str">
        <f t="shared" si="2"/>
        <v>zs.TbTourist</v>
      </c>
      <c r="C14" s="1" t="str">
        <f t="shared" si="1"/>
        <v>Tourist</v>
      </c>
      <c r="D14" t="s">
        <v>30</v>
      </c>
      <c r="E14" t="s">
        <v>42</v>
      </c>
    </row>
    <row r="15" spans="1:12" x14ac:dyDescent="0.15">
      <c r="B15" t="str">
        <f t="shared" ref="B15:B18" si="3">"zs"&amp;".Tb"&amp;RIGHT(C15,LEN(C15))</f>
        <v>zs.TbIsland</v>
      </c>
      <c r="C15" s="1" t="str">
        <f t="shared" ref="C15:C16" si="4">IF(ISNUMBER(FIND("_",LEFT(E15,FIND("@",SUBSTITUTE(E15,"_","@",LEN(E15)-LEN(SUBSTITUTE(E15,"_",""))))-1))),SUBSTITUTE(PROPER(SUBSTITUTE(LEFT(E15,FIND("@",SUBSTITUTE(E15,"_","@",LEN(E15)-LEN(SUBSTITUTE(E15,"_",""))))-1),"_"," "))," ",""),UPPER(LEFT(LEFT(E15,FIND("@",SUBSTITUTE(E15,"_","@",LEN(E15)-LEN(SUBSTITUTE(E15,"_",""))))-1),1))&amp;MID(LEFT(E15,FIND("@",SUBSTITUTE(E15,"_","@",LEN(E15)-LEN(SUBSTITUTE(E15,"_",""))))-1),2,999))</f>
        <v>Island</v>
      </c>
      <c r="D15" t="s">
        <v>30</v>
      </c>
      <c r="E15" t="s">
        <v>43</v>
      </c>
    </row>
    <row r="16" spans="1:12" x14ac:dyDescent="0.15">
      <c r="B16" t="str">
        <f t="shared" si="3"/>
        <v>zs.TbIslandLevel</v>
      </c>
      <c r="C16" s="1" t="str">
        <f t="shared" si="4"/>
        <v>IslandLevel</v>
      </c>
      <c r="D16" t="s">
        <v>30</v>
      </c>
      <c r="E16" t="s">
        <v>44</v>
      </c>
    </row>
    <row r="17" spans="2:5" x14ac:dyDescent="0.15">
      <c r="B17" t="str">
        <f t="shared" si="3"/>
        <v>zs.TbBuildingUnlock</v>
      </c>
      <c r="C17" s="1" t="str">
        <f t="shared" ref="C17:C19" si="5">IF(ISNUMBER(FIND("_",LEFT(E17,FIND("@",SUBSTITUTE(E17,"_","@",LEN(E17)-LEN(SUBSTITUTE(E17,"_",""))))-1))),SUBSTITUTE(PROPER(SUBSTITUTE(LEFT(E17,FIND("@",SUBSTITUTE(E17,"_","@",LEN(E17)-LEN(SUBSTITUTE(E17,"_",""))))-1),"_"," "))," ",""),UPPER(LEFT(LEFT(E17,FIND("@",SUBSTITUTE(E17,"_","@",LEN(E17)-LEN(SUBSTITUTE(E17,"_",""))))-1),1))&amp;MID(LEFT(E17,FIND("@",SUBSTITUTE(E17,"_","@",LEN(E17)-LEN(SUBSTITUTE(E17,"_",""))))-1),2,999))</f>
        <v>BuildingUnlock</v>
      </c>
      <c r="D17" t="s">
        <v>30</v>
      </c>
      <c r="E17" t="s">
        <v>38</v>
      </c>
    </row>
    <row r="18" spans="2:5" x14ac:dyDescent="0.15">
      <c r="B18" t="str">
        <f t="shared" si="3"/>
        <v>zs.TbGuideStep</v>
      </c>
      <c r="C18" s="1" t="str">
        <f t="shared" si="5"/>
        <v>GuideStep</v>
      </c>
      <c r="D18" t="s">
        <v>30</v>
      </c>
      <c r="E18" t="s">
        <v>45</v>
      </c>
    </row>
    <row r="19" spans="2:5" x14ac:dyDescent="0.15">
      <c r="B19" t="str">
        <f t="shared" ref="B19" si="6">"zs"&amp;".Tb"&amp;RIGHT(C19,LEN(C19))</f>
        <v>zs.TbBridgeConfig</v>
      </c>
      <c r="C19" s="1" t="str">
        <f t="shared" si="5"/>
        <v>BridgeConfig</v>
      </c>
      <c r="D19" t="s">
        <v>30</v>
      </c>
      <c r="E19" t="s">
        <v>116</v>
      </c>
    </row>
  </sheetData>
  <phoneticPr fontId="2" type="noConversion"/>
  <pageMargins left="0.75" right="0.75" top="1" bottom="1" header="0.5" footer="0.5"/>
  <pageSetup paperSize="9" orientation="portrait"/>
  <ignoredErrors>
    <ignoredError sqref="A5 A7 D7:L9 F10:L10 D10 A1:L3 D4:L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25"/>
  <sheetViews>
    <sheetView workbookViewId="0">
      <selection activeCell="D9" sqref="D9"/>
    </sheetView>
  </sheetViews>
  <sheetFormatPr defaultColWidth="9" defaultRowHeight="14.25" x14ac:dyDescent="0.15"/>
  <sheetData>
    <row r="1" spans="2:5" x14ac:dyDescent="0.15">
      <c r="B1" t="s">
        <v>46</v>
      </c>
      <c r="C1" t="s">
        <v>47</v>
      </c>
      <c r="D1" t="s">
        <v>30</v>
      </c>
      <c r="E1" t="s">
        <v>48</v>
      </c>
    </row>
    <row r="2" spans="2:5" x14ac:dyDescent="0.15">
      <c r="B2" t="s">
        <v>49</v>
      </c>
      <c r="C2" t="s">
        <v>50</v>
      </c>
      <c r="D2" t="s">
        <v>30</v>
      </c>
      <c r="E2" t="s">
        <v>51</v>
      </c>
    </row>
    <row r="3" spans="2:5" x14ac:dyDescent="0.15">
      <c r="B3" t="s">
        <v>52</v>
      </c>
      <c r="C3" t="s">
        <v>53</v>
      </c>
      <c r="D3" t="s">
        <v>30</v>
      </c>
      <c r="E3" t="s">
        <v>31</v>
      </c>
    </row>
    <row r="4" spans="2:5" x14ac:dyDescent="0.15">
      <c r="B4" t="s">
        <v>54</v>
      </c>
      <c r="C4" t="s">
        <v>55</v>
      </c>
      <c r="D4" t="s">
        <v>30</v>
      </c>
      <c r="E4" t="s">
        <v>56</v>
      </c>
    </row>
    <row r="5" spans="2:5" x14ac:dyDescent="0.15">
      <c r="B5" t="s">
        <v>57</v>
      </c>
      <c r="C5" t="s">
        <v>58</v>
      </c>
      <c r="D5" t="s">
        <v>30</v>
      </c>
      <c r="E5" t="s">
        <v>59</v>
      </c>
    </row>
    <row r="6" spans="2:5" x14ac:dyDescent="0.15">
      <c r="B6" t="s">
        <v>60</v>
      </c>
      <c r="C6" t="s">
        <v>61</v>
      </c>
      <c r="D6" t="s">
        <v>30</v>
      </c>
      <c r="E6" t="s">
        <v>62</v>
      </c>
    </row>
    <row r="7" spans="2:5" x14ac:dyDescent="0.15">
      <c r="B7" t="s">
        <v>63</v>
      </c>
      <c r="C7" t="s">
        <v>64</v>
      </c>
      <c r="D7" t="s">
        <v>30</v>
      </c>
      <c r="E7" t="s">
        <v>65</v>
      </c>
    </row>
    <row r="8" spans="2:5" x14ac:dyDescent="0.15">
      <c r="B8" t="s">
        <v>66</v>
      </c>
      <c r="C8" t="s">
        <v>67</v>
      </c>
      <c r="D8" t="s">
        <v>30</v>
      </c>
      <c r="E8" t="s">
        <v>32</v>
      </c>
    </row>
    <row r="9" spans="2:5" x14ac:dyDescent="0.15">
      <c r="B9" t="s">
        <v>68</v>
      </c>
      <c r="C9" t="s">
        <v>69</v>
      </c>
      <c r="D9" t="s">
        <v>30</v>
      </c>
      <c r="E9" t="s">
        <v>70</v>
      </c>
    </row>
    <row r="10" spans="2:5" x14ac:dyDescent="0.15">
      <c r="B10" t="s">
        <v>71</v>
      </c>
      <c r="C10" t="s">
        <v>72</v>
      </c>
      <c r="D10" t="s">
        <v>30</v>
      </c>
      <c r="E10" t="s">
        <v>73</v>
      </c>
    </row>
    <row r="11" spans="2:5" x14ac:dyDescent="0.15">
      <c r="B11" t="s">
        <v>74</v>
      </c>
      <c r="C11" t="s">
        <v>75</v>
      </c>
      <c r="D11" t="s">
        <v>30</v>
      </c>
      <c r="E11" t="s">
        <v>76</v>
      </c>
    </row>
    <row r="12" spans="2:5" x14ac:dyDescent="0.15">
      <c r="B12" t="s">
        <v>77</v>
      </c>
      <c r="C12" t="s">
        <v>78</v>
      </c>
      <c r="D12" t="s">
        <v>30</v>
      </c>
      <c r="E12" t="s">
        <v>79</v>
      </c>
    </row>
    <row r="13" spans="2:5" x14ac:dyDescent="0.15">
      <c r="B13" t="s">
        <v>80</v>
      </c>
      <c r="C13" t="s">
        <v>81</v>
      </c>
      <c r="D13" t="s">
        <v>30</v>
      </c>
      <c r="E13" t="s">
        <v>34</v>
      </c>
    </row>
    <row r="14" spans="2:5" x14ac:dyDescent="0.15">
      <c r="B14" t="s">
        <v>82</v>
      </c>
      <c r="C14" t="s">
        <v>83</v>
      </c>
      <c r="D14" t="s">
        <v>30</v>
      </c>
      <c r="E14" t="s">
        <v>84</v>
      </c>
    </row>
    <row r="15" spans="2:5" x14ac:dyDescent="0.15">
      <c r="B15" t="s">
        <v>85</v>
      </c>
      <c r="C15" t="s">
        <v>86</v>
      </c>
      <c r="D15" t="s">
        <v>30</v>
      </c>
      <c r="E15" t="s">
        <v>35</v>
      </c>
    </row>
    <row r="16" spans="2:5" x14ac:dyDescent="0.15">
      <c r="B16" t="s">
        <v>87</v>
      </c>
      <c r="C16" t="s">
        <v>88</v>
      </c>
      <c r="D16" t="s">
        <v>30</v>
      </c>
      <c r="E16" t="s">
        <v>89</v>
      </c>
    </row>
    <row r="17" spans="2:5" x14ac:dyDescent="0.15">
      <c r="B17" t="s">
        <v>90</v>
      </c>
      <c r="C17" t="s">
        <v>91</v>
      </c>
      <c r="D17" t="s">
        <v>30</v>
      </c>
      <c r="E17" t="s">
        <v>92</v>
      </c>
    </row>
    <row r="18" spans="2:5" x14ac:dyDescent="0.15">
      <c r="B18" t="s">
        <v>93</v>
      </c>
      <c r="C18" t="s">
        <v>94</v>
      </c>
      <c r="D18" t="s">
        <v>30</v>
      </c>
      <c r="E18" t="s">
        <v>95</v>
      </c>
    </row>
    <row r="19" spans="2:5" x14ac:dyDescent="0.15">
      <c r="B19" t="s">
        <v>96</v>
      </c>
      <c r="C19" t="s">
        <v>97</v>
      </c>
      <c r="D19" t="s">
        <v>30</v>
      </c>
      <c r="E19" t="s">
        <v>36</v>
      </c>
    </row>
    <row r="20" spans="2:5" x14ac:dyDescent="0.15">
      <c r="B20" t="s">
        <v>98</v>
      </c>
      <c r="C20" t="s">
        <v>99</v>
      </c>
      <c r="D20" t="s">
        <v>30</v>
      </c>
      <c r="E20" t="s">
        <v>100</v>
      </c>
    </row>
    <row r="21" spans="2:5" x14ac:dyDescent="0.15">
      <c r="B21" t="s">
        <v>101</v>
      </c>
      <c r="C21" t="s">
        <v>102</v>
      </c>
      <c r="D21" t="s">
        <v>30</v>
      </c>
      <c r="E21" t="s">
        <v>103</v>
      </c>
    </row>
    <row r="22" spans="2:5" x14ac:dyDescent="0.15">
      <c r="B22" t="s">
        <v>104</v>
      </c>
      <c r="C22" t="s">
        <v>105</v>
      </c>
      <c r="D22" t="s">
        <v>30</v>
      </c>
      <c r="E22" t="s">
        <v>106</v>
      </c>
    </row>
    <row r="23" spans="2:5" x14ac:dyDescent="0.15">
      <c r="B23" t="s">
        <v>107</v>
      </c>
      <c r="C23" t="s">
        <v>108</v>
      </c>
      <c r="D23" t="s">
        <v>30</v>
      </c>
      <c r="E23" t="s">
        <v>109</v>
      </c>
    </row>
    <row r="24" spans="2:5" x14ac:dyDescent="0.15">
      <c r="B24" t="s">
        <v>110</v>
      </c>
      <c r="C24" t="s">
        <v>111</v>
      </c>
      <c r="D24" t="s">
        <v>30</v>
      </c>
      <c r="E24" t="s">
        <v>112</v>
      </c>
    </row>
    <row r="25" spans="2:5" x14ac:dyDescent="0.15">
      <c r="B25" t="s">
        <v>113</v>
      </c>
      <c r="C25" t="s">
        <v>114</v>
      </c>
      <c r="D25" t="s">
        <v>30</v>
      </c>
      <c r="E25" t="s">
        <v>115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志飞 林</cp:lastModifiedBy>
  <dcterms:created xsi:type="dcterms:W3CDTF">2025-09-29T12:51:00Z</dcterms:created>
  <dcterms:modified xsi:type="dcterms:W3CDTF">2025-12-22T09:01:48Z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A1E53194CFF14C359F9CDC27E5F15CA6_12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