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kddh\ss-cfg\"/>
    </mc:Choice>
  </mc:AlternateContent>
  <xr:revisionPtr revIDLastSave="0" documentId="13_ncr:1_{022755C4-3E15-4582-A7D4-56D8C59EE0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条件类型" sheetId="2" r:id="rId2"/>
  </sheets>
  <calcPr calcId="181029"/>
</workbook>
</file>

<file path=xl/calcChain.xml><?xml version="1.0" encoding="utf-8"?>
<calcChain xmlns="http://schemas.openxmlformats.org/spreadsheetml/2006/main">
  <c r="T34" i="1" l="1"/>
  <c r="S34" i="1"/>
  <c r="R34" i="1"/>
  <c r="P34" i="1"/>
  <c r="O34" i="1"/>
  <c r="L34" i="1"/>
  <c r="T33" i="1"/>
  <c r="P33" i="1"/>
  <c r="O33" i="1"/>
  <c r="L33" i="1"/>
  <c r="T32" i="1"/>
  <c r="S32" i="1"/>
  <c r="R32" i="1"/>
  <c r="P32" i="1"/>
  <c r="O32" i="1"/>
  <c r="L32" i="1"/>
  <c r="T31" i="1"/>
  <c r="P31" i="1"/>
  <c r="O31" i="1"/>
  <c r="L31" i="1"/>
  <c r="T30" i="1"/>
  <c r="S30" i="1"/>
  <c r="R30" i="1"/>
  <c r="P30" i="1"/>
  <c r="O30" i="1"/>
  <c r="N30" i="1"/>
  <c r="L30" i="1"/>
  <c r="T29" i="1"/>
  <c r="P29" i="1"/>
  <c r="O29" i="1"/>
  <c r="N29" i="1"/>
  <c r="L29" i="1"/>
  <c r="T28" i="1"/>
  <c r="S28" i="1"/>
  <c r="R28" i="1"/>
  <c r="P28" i="1"/>
  <c r="O28" i="1"/>
  <c r="L28" i="1"/>
  <c r="T27" i="1"/>
  <c r="P27" i="1"/>
  <c r="O27" i="1"/>
  <c r="L27" i="1"/>
  <c r="T26" i="1"/>
  <c r="S26" i="1"/>
  <c r="R26" i="1"/>
  <c r="P26" i="1"/>
  <c r="O26" i="1"/>
  <c r="L26" i="1"/>
  <c r="T25" i="1"/>
  <c r="P25" i="1"/>
  <c r="O25" i="1"/>
  <c r="L25" i="1"/>
  <c r="T24" i="1"/>
  <c r="P24" i="1"/>
  <c r="O24" i="1"/>
  <c r="L24" i="1"/>
  <c r="T23" i="1"/>
  <c r="P23" i="1"/>
  <c r="O23" i="1"/>
  <c r="N23" i="1"/>
  <c r="L23" i="1"/>
  <c r="T22" i="1"/>
  <c r="S22" i="1"/>
  <c r="R22" i="1"/>
  <c r="P22" i="1"/>
  <c r="O22" i="1"/>
  <c r="N22" i="1"/>
  <c r="L22" i="1"/>
  <c r="T21" i="1"/>
  <c r="P21" i="1"/>
  <c r="O21" i="1"/>
  <c r="L21" i="1"/>
  <c r="T20" i="1"/>
  <c r="S20" i="1"/>
  <c r="R20" i="1"/>
  <c r="P20" i="1"/>
  <c r="O20" i="1"/>
  <c r="L20" i="1"/>
  <c r="T19" i="1"/>
  <c r="P19" i="1"/>
  <c r="O19" i="1"/>
  <c r="L19" i="1"/>
  <c r="T18" i="1"/>
  <c r="S18" i="1"/>
  <c r="R18" i="1"/>
  <c r="P18" i="1"/>
  <c r="O18" i="1"/>
  <c r="L18" i="1"/>
  <c r="T17" i="1"/>
  <c r="P17" i="1"/>
  <c r="O17" i="1"/>
  <c r="L17" i="1"/>
  <c r="T16" i="1"/>
  <c r="S16" i="1"/>
  <c r="R16" i="1"/>
  <c r="P16" i="1"/>
  <c r="O16" i="1"/>
  <c r="N16" i="1"/>
  <c r="L16" i="1"/>
  <c r="T15" i="1"/>
  <c r="P15" i="1"/>
  <c r="O15" i="1"/>
  <c r="L15" i="1"/>
  <c r="T14" i="1"/>
  <c r="P14" i="1"/>
  <c r="O14" i="1"/>
  <c r="N14" i="1"/>
  <c r="L14" i="1"/>
  <c r="T13" i="1"/>
  <c r="P13" i="1"/>
  <c r="O13" i="1"/>
  <c r="N13" i="1"/>
  <c r="L13" i="1"/>
  <c r="T12" i="1"/>
  <c r="S12" i="1"/>
  <c r="R12" i="1"/>
  <c r="P12" i="1"/>
  <c r="O12" i="1"/>
  <c r="T11" i="1"/>
  <c r="P11" i="1"/>
  <c r="O11" i="1"/>
  <c r="T10" i="1"/>
  <c r="S10" i="1"/>
  <c r="R10" i="1"/>
  <c r="P10" i="1"/>
  <c r="O10" i="1"/>
  <c r="T9" i="1"/>
  <c r="P9" i="1"/>
  <c r="O9" i="1"/>
  <c r="T8" i="1"/>
  <c r="S8" i="1"/>
  <c r="R8" i="1"/>
  <c r="P8" i="1"/>
  <c r="O8" i="1"/>
  <c r="T7" i="1"/>
  <c r="P7" i="1"/>
  <c r="O7" i="1"/>
  <c r="T6" i="1"/>
  <c r="O6" i="1"/>
  <c r="T5" i="1"/>
  <c r="O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2" authorId="0" shapeId="0" xr:uid="{00000000-0006-0000-0000-000001000000}">
      <text>
        <r>
          <rPr>
            <sz val="9"/>
            <rFont val="宋体"/>
            <family val="3"/>
            <charset val="134"/>
          </rPr>
          <t>1：主线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2：支线
3：日常</t>
        </r>
      </text>
    </comment>
    <comment ref="E2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1:任务链
2:剧情组ID
</t>
        </r>
      </text>
    </comment>
    <comment ref="F2" authorId="0" shapeId="0" xr:uid="{00000000-0006-0000-0000-000003000000}">
      <text>
        <r>
          <rPr>
            <sz val="9"/>
            <rFont val="宋体"/>
            <family val="3"/>
            <charset val="134"/>
          </rPr>
          <t>主线类型填写下一个任务</t>
        </r>
      </text>
    </comment>
    <comment ref="G2" authorId="0" shapeId="0" xr:uid="{00000000-0006-0000-0000-000004000000}">
      <text>
        <r>
          <rPr>
            <sz val="9"/>
            <rFont val="宋体"/>
            <family val="3"/>
            <charset val="134"/>
          </rPr>
          <t>1.指定ID建筑到达N级
2.拥有拥有N个指定ID建筑
3.指定ID地块到达N级
4.拥有N个指定ID地块
5.累计收集道具ID的数量到达N
6.收集N个道具ID
7.完成N次飞艇航班
待扩展：
岛屿总魅力值 ≥ N
持有指定资源 ≥ N
占领指定中立岛屿
连续登录天数 ≥ N
社交分享次数 ≥ N
指定形状邻接达标
拥有指定地块核心 ≥ N
指定核心类别星级 ≥ N
完成指定航线次数 ≥ N
当前蒸汽压力 ≥ N
完成指定建筑合成 ≥ N
完成指定管道组合 ≥ N
完成指定任务链全部步骤
岛屿总魅力值 ≥ N</t>
        </r>
      </text>
    </comment>
  </commentList>
</comments>
</file>

<file path=xl/sharedStrings.xml><?xml version="1.0" encoding="utf-8"?>
<sst xmlns="http://schemas.openxmlformats.org/spreadsheetml/2006/main" count="286" uniqueCount="171">
  <si>
    <t>##var</t>
  </si>
  <si>
    <t>id</t>
  </si>
  <si>
    <t>QuestTitle</t>
  </si>
  <si>
    <t>QuestType</t>
  </si>
  <si>
    <t>TriggerType</t>
  </si>
  <si>
    <t>AftQuestList</t>
  </si>
  <si>
    <t>Target</t>
  </si>
  <si>
    <t>RewardItems</t>
  </si>
  <si>
    <t>#</t>
  </si>
  <si>
    <t>##</t>
  </si>
  <si>
    <t>任务ID</t>
  </si>
  <si>
    <t>任务标题</t>
  </si>
  <si>
    <t>任务类型</t>
  </si>
  <si>
    <t>触发</t>
  </si>
  <si>
    <t>任务链</t>
  </si>
  <si>
    <t>完成条件</t>
  </si>
  <si>
    <t>道具奖励</t>
  </si>
  <si>
    <t>前置剧情</t>
  </si>
  <si>
    <t>后置剧情</t>
  </si>
  <si>
    <t>##group</t>
  </si>
  <si>
    <t>##type</t>
  </si>
  <si>
    <t>int</t>
  </si>
  <si>
    <t>string</t>
  </si>
  <si>
    <t>类</t>
  </si>
  <si>
    <t>ID</t>
  </si>
  <si>
    <t>参</t>
  </si>
  <si>
    <t>_</t>
  </si>
  <si>
    <t>主线1-1</t>
  </si>
  <si>
    <t>1.指定ID建筑到达N级</t>
  </si>
  <si>
    <t>蒸汽枢纽</t>
  </si>
  <si>
    <t>稻田蒸汽机</t>
  </si>
  <si>
    <t>齿轮油田</t>
  </si>
  <si>
    <t>主线1-2</t>
  </si>
  <si>
    <t>4.拥有N个指定ID地块</t>
  </si>
  <si>
    <t>主线1-3</t>
  </si>
  <si>
    <t>3.指定ID地块到达N级</t>
  </si>
  <si>
    <t>主线1-4</t>
  </si>
  <si>
    <t>2.拥有拥有N个指定ID建筑</t>
  </si>
  <si>
    <t>主线1-5</t>
  </si>
  <si>
    <t>5.累计道具到达N</t>
  </si>
  <si>
    <t>主线1-6</t>
  </si>
  <si>
    <t>6.收集N个道具</t>
  </si>
  <si>
    <t>主线1-7</t>
  </si>
  <si>
    <t>7.完成N次飞艇航班</t>
  </si>
  <si>
    <t>主线1-8</t>
  </si>
  <si>
    <t>8.累计完成N次飞艇航班</t>
  </si>
  <si>
    <t>主线1-9</t>
  </si>
  <si>
    <t>主线1-10</t>
  </si>
  <si>
    <t>主线1-11</t>
  </si>
  <si>
    <t>铜管寿司屋</t>
  </si>
  <si>
    <t>章鱼活水箱</t>
  </si>
  <si>
    <t>地精之家</t>
  </si>
  <si>
    <t>主线1-12</t>
  </si>
  <si>
    <t>主线1-13</t>
  </si>
  <si>
    <t>主线1-14</t>
  </si>
  <si>
    <t>主线1-15</t>
  </si>
  <si>
    <t>主线1-16</t>
  </si>
  <si>
    <t>主线1-17</t>
  </si>
  <si>
    <t>主线1-18</t>
  </si>
  <si>
    <t>主线1-19</t>
  </si>
  <si>
    <t>主线1-20</t>
  </si>
  <si>
    <t>主线1-21</t>
  </si>
  <si>
    <t>章鱼烧飞盘</t>
  </si>
  <si>
    <t>航站楼</t>
  </si>
  <si>
    <t>主线1-22</t>
  </si>
  <si>
    <t>主线1-23</t>
  </si>
  <si>
    <t>主线1-24</t>
  </si>
  <si>
    <t>主线1-25</t>
  </si>
  <si>
    <t>主线1-26</t>
  </si>
  <si>
    <t>主线1-27</t>
  </si>
  <si>
    <t>主线1-28</t>
  </si>
  <si>
    <t>主线1-29</t>
  </si>
  <si>
    <t>主线1-30</t>
  </si>
  <si>
    <t>条件类型</t>
  </si>
  <si>
    <t>说明</t>
  </si>
  <si>
    <t>参数格式示例</t>
  </si>
  <si>
    <t>枢纽等级 ≥ N</t>
  </si>
  <si>
    <t>{"level":5}</t>
  </si>
  <si>
    <t>指定建筑数量 ≥ N</t>
  </si>
  <si>
    <t>{"id":1001,"count":3}</t>
  </si>
  <si>
    <t>指定建筑等级 ≥ N</t>
  </si>
  <si>
    <t>{"id":1001,"level":3}</t>
  </si>
  <si>
    <t>指定土质地块数量 ≥ N</t>
  </si>
  <si>
    <t>{"terrain":1,"count":4}</t>
  </si>
  <si>
    <t>指定形状邻接达标</t>
  </si>
  <si>
    <t>{"shape":"L","terrain":1,"count":3}</t>
  </si>
  <si>
    <t>拥有指定地块核心 ≥ N</t>
  </si>
  <si>
    <t>{"coreId":2001,"count":1}</t>
  </si>
  <si>
    <t>指定核心类别星级 ≥ N</t>
  </si>
  <si>
    <t>{"coreId":2001,"level":5}</t>
  </si>
  <si>
    <t>完成指定航线次数 ≥ N</t>
  </si>
  <si>
    <t>{"route":"L01","times":5}</t>
  </si>
  <si>
    <t>累计运客总数 ≥ N</t>
  </si>
  <si>
    <t>{"sum":1000}</t>
  </si>
  <si>
    <t>岛屿总魅力值 ≥ N</t>
  </si>
  <si>
    <t>{"sum":500}</t>
  </si>
  <si>
    <t>当前蒸汽压力 ≥ N</t>
  </si>
  <si>
    <t>{"current":150}</t>
  </si>
  <si>
    <t>持有指定资源 ≥ N</t>
  </si>
  <si>
    <t>{"type":"silver","amount":10000}</t>
  </si>
  <si>
    <t>占领指定中立岛屿</t>
  </si>
  <si>
    <t>{"islandId":9001}</t>
  </si>
  <si>
    <t>连续登录天数 ≥ N</t>
  </si>
  <si>
    <t>{"days":7}</t>
  </si>
  <si>
    <t>社交分享次数 ≥ N</t>
  </si>
  <si>
    <t>{"times":3}</t>
  </si>
  <si>
    <t>完成指定建筑合成 ≥ N</t>
  </si>
  <si>
    <t>{"type":"3x3","count":1}</t>
  </si>
  <si>
    <t>完成指定管道组合 ≥ N</t>
  </si>
  <si>
    <t>{"combo":"L-T","count":2}</t>
  </si>
  <si>
    <t>完成指定任务链全部步骤</t>
  </si>
  <si>
    <t>{"chainId":"newbie","all":true}</t>
  </si>
  <si>
    <t>(list#sep=|),(list#sep=;),int</t>
  </si>
  <si>
    <t>1;1</t>
  </si>
  <si>
    <t>1;2</t>
  </si>
  <si>
    <t>1;3</t>
  </si>
  <si>
    <t>1;4</t>
  </si>
  <si>
    <t>1;5</t>
  </si>
  <si>
    <t>1;6</t>
  </si>
  <si>
    <t>1;7</t>
  </si>
  <si>
    <t>1;8</t>
  </si>
  <si>
    <t>1;9</t>
  </si>
  <si>
    <t>1;11</t>
  </si>
  <si>
    <t>1;12</t>
  </si>
  <si>
    <t>1;13</t>
  </si>
  <si>
    <t>1;14</t>
  </si>
  <si>
    <t>1;15</t>
  </si>
  <si>
    <t>1;16</t>
  </si>
  <si>
    <t>1;17</t>
  </si>
  <si>
    <t>1;18</t>
  </si>
  <si>
    <t>1;19</t>
  </si>
  <si>
    <t>1;21</t>
  </si>
  <si>
    <t>1;22</t>
  </si>
  <si>
    <t>1;23</t>
  </si>
  <si>
    <t>1;24</t>
  </si>
  <si>
    <t>1;25</t>
  </si>
  <si>
    <t>1;26</t>
  </si>
  <si>
    <t>1;27</t>
  </si>
  <si>
    <t>1;28</t>
  </si>
  <si>
    <t>1;29</t>
  </si>
  <si>
    <r>
      <t>4_101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_2</t>
    </r>
    <phoneticPr fontId="8" type="noConversion"/>
  </si>
  <si>
    <r>
      <t>4_101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_3</t>
    </r>
    <phoneticPr fontId="8" type="noConversion"/>
  </si>
  <si>
    <r>
      <t>4_101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_4</t>
    </r>
    <phoneticPr fontId="8" type="noConversion"/>
  </si>
  <si>
    <r>
      <t>4_101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_5</t>
    </r>
    <phoneticPr fontId="8" type="noConversion"/>
  </si>
  <si>
    <r>
      <t>4_102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_1</t>
    </r>
    <phoneticPr fontId="8" type="noConversion"/>
  </si>
  <si>
    <r>
      <t>4_102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_2</t>
    </r>
    <phoneticPr fontId="8" type="noConversion"/>
  </si>
  <si>
    <r>
      <t>4_102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_3</t>
    </r>
    <phoneticPr fontId="8" type="noConversion"/>
  </si>
  <si>
    <r>
      <t>4_102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_4</t>
    </r>
    <phoneticPr fontId="8" type="noConversion"/>
  </si>
  <si>
    <r>
      <t>4_102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_5</t>
    </r>
    <phoneticPr fontId="8" type="noConversion"/>
  </si>
  <si>
    <r>
      <t>4_103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_1</t>
    </r>
    <phoneticPr fontId="8" type="noConversion"/>
  </si>
  <si>
    <r>
      <t>4_103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_2</t>
    </r>
    <phoneticPr fontId="8" type="noConversion"/>
  </si>
  <si>
    <r>
      <t>4_103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_3</t>
    </r>
    <phoneticPr fontId="8" type="noConversion"/>
  </si>
  <si>
    <r>
      <t>4_103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_4</t>
    </r>
    <phoneticPr fontId="8" type="noConversion"/>
  </si>
  <si>
    <r>
      <t>4_103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_5</t>
    </r>
    <phoneticPr fontId="8" type="noConversion"/>
  </si>
  <si>
    <r>
      <t>4_103</t>
    </r>
    <r>
      <rPr>
        <sz val="12"/>
        <color theme="1"/>
        <rFont val="宋体"/>
        <family val="3"/>
        <charset val="134"/>
        <scheme val="minor"/>
      </rPr>
      <t>001</t>
    </r>
    <r>
      <rPr>
        <sz val="12"/>
        <color theme="1"/>
        <rFont val="宋体"/>
        <family val="3"/>
        <charset val="134"/>
        <scheme val="minor"/>
      </rPr>
      <t>_6</t>
    </r>
    <phoneticPr fontId="8" type="noConversion"/>
  </si>
  <si>
    <r>
      <t>1_1</t>
    </r>
    <r>
      <rPr>
        <sz val="12"/>
        <color theme="1"/>
        <rFont val="宋体"/>
        <family val="3"/>
        <charset val="134"/>
        <scheme val="minor"/>
      </rPr>
      <t>0101</t>
    </r>
    <r>
      <rPr>
        <sz val="12"/>
        <color theme="1"/>
        <rFont val="宋体"/>
        <family val="3"/>
        <charset val="134"/>
        <scheme val="minor"/>
      </rPr>
      <t>_1</t>
    </r>
    <phoneticPr fontId="8" type="noConversion"/>
  </si>
  <si>
    <r>
      <t>1_10201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1</t>
    </r>
    <phoneticPr fontId="8" type="noConversion"/>
  </si>
  <si>
    <t>1_10104_1</t>
    <phoneticPr fontId="8" type="noConversion"/>
  </si>
  <si>
    <r>
      <t>1_10301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1</t>
    </r>
    <phoneticPr fontId="8" type="noConversion"/>
  </si>
  <si>
    <r>
      <t>1_10</t>
    </r>
    <r>
      <rPr>
        <sz val="12"/>
        <color theme="1"/>
        <rFont val="宋体"/>
        <family val="3"/>
        <charset val="134"/>
        <scheme val="minor"/>
      </rPr>
      <t>3</t>
    </r>
    <r>
      <rPr>
        <sz val="12"/>
        <color theme="1"/>
        <rFont val="宋体"/>
        <family val="3"/>
        <charset val="134"/>
        <scheme val="minor"/>
      </rPr>
      <t>02_2</t>
    </r>
    <phoneticPr fontId="8" type="noConversion"/>
  </si>
  <si>
    <r>
      <t>1_10102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2</t>
    </r>
    <phoneticPr fontId="8" type="noConversion"/>
  </si>
  <si>
    <r>
      <t>1_102</t>
    </r>
    <r>
      <rPr>
        <sz val="12"/>
        <color theme="1"/>
        <rFont val="宋体"/>
        <family val="3"/>
        <charset val="134"/>
        <scheme val="minor"/>
      </rPr>
      <t>0</t>
    </r>
    <r>
      <rPr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_2</t>
    </r>
    <phoneticPr fontId="8" type="noConversion"/>
  </si>
  <si>
    <r>
      <t>1_</t>
    </r>
    <r>
      <rPr>
        <sz val="12"/>
        <color theme="1"/>
        <rFont val="宋体"/>
        <family val="3"/>
        <charset val="134"/>
        <scheme val="minor"/>
      </rPr>
      <t>10402</t>
    </r>
    <r>
      <rPr>
        <sz val="12"/>
        <color theme="1"/>
        <rFont val="宋体"/>
        <family val="3"/>
        <charset val="134"/>
        <scheme val="minor"/>
      </rPr>
      <t>_2</t>
    </r>
    <phoneticPr fontId="8" type="noConversion"/>
  </si>
  <si>
    <r>
      <t>1_</t>
    </r>
    <r>
      <rPr>
        <sz val="12"/>
        <color theme="1"/>
        <rFont val="宋体"/>
        <family val="3"/>
        <charset val="134"/>
        <scheme val="minor"/>
      </rPr>
      <t>10103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3</t>
    </r>
    <phoneticPr fontId="8" type="noConversion"/>
  </si>
  <si>
    <r>
      <t>1_</t>
    </r>
    <r>
      <rPr>
        <sz val="12"/>
        <color theme="1"/>
        <rFont val="宋体"/>
        <family val="3"/>
        <charset val="134"/>
        <scheme val="minor"/>
      </rPr>
      <t>10203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3</t>
    </r>
    <phoneticPr fontId="8" type="noConversion"/>
  </si>
  <si>
    <r>
      <t>1_10</t>
    </r>
    <r>
      <rPr>
        <sz val="12"/>
        <color theme="1"/>
        <rFont val="宋体"/>
        <family val="3"/>
        <charset val="134"/>
        <scheme val="minor"/>
      </rPr>
      <t>303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3</t>
    </r>
    <phoneticPr fontId="8" type="noConversion"/>
  </si>
  <si>
    <r>
      <t>1_10</t>
    </r>
    <r>
      <rPr>
        <sz val="12"/>
        <color theme="1"/>
        <rFont val="宋体"/>
        <family val="3"/>
        <charset val="134"/>
        <scheme val="minor"/>
      </rPr>
      <t>403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3</t>
    </r>
    <phoneticPr fontId="8" type="noConversion"/>
  </si>
  <si>
    <r>
      <t>1_</t>
    </r>
    <r>
      <rPr>
        <sz val="12"/>
        <color theme="1"/>
        <rFont val="宋体"/>
        <family val="3"/>
        <charset val="134"/>
        <scheme val="minor"/>
      </rPr>
      <t>10104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4</t>
    </r>
    <phoneticPr fontId="8" type="noConversion"/>
  </si>
  <si>
    <r>
      <t>1_10</t>
    </r>
    <r>
      <rPr>
        <sz val="12"/>
        <color theme="1"/>
        <rFont val="宋体"/>
        <family val="3"/>
        <charset val="134"/>
        <scheme val="minor"/>
      </rPr>
      <t>204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4</t>
    </r>
    <phoneticPr fontId="8" type="noConversion"/>
  </si>
  <si>
    <r>
      <t>1_</t>
    </r>
    <r>
      <rPr>
        <sz val="12"/>
        <color theme="1"/>
        <rFont val="宋体"/>
        <family val="3"/>
        <charset val="134"/>
        <scheme val="minor"/>
      </rPr>
      <t>10304</t>
    </r>
    <r>
      <rPr>
        <sz val="12"/>
        <color theme="1"/>
        <rFont val="宋体"/>
        <family val="3"/>
        <charset val="134"/>
        <scheme val="minor"/>
      </rPr>
      <t>_</t>
    </r>
    <r>
      <rPr>
        <sz val="12"/>
        <color theme="1"/>
        <rFont val="宋体"/>
        <family val="3"/>
        <charset val="134"/>
        <scheme val="minor"/>
      </rPr>
      <t>4</t>
    </r>
    <phoneticPr fontId="8" type="noConversion"/>
  </si>
  <si>
    <r>
      <t>c</t>
    </r>
    <r>
      <rPr>
        <sz val="12"/>
        <color theme="1"/>
        <rFont val="宋体"/>
        <family val="3"/>
        <charset val="134"/>
        <scheme val="minor"/>
      </rPr>
      <t>,u</t>
    </r>
    <r>
      <rPr>
        <sz val="12"/>
        <color theme="1"/>
        <rFont val="宋体"/>
        <charset val="134"/>
        <scheme val="minor"/>
      </rPr>
      <t>,s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</si>
</sst>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WPS灵秀黑"/>
      <charset val="134"/>
    </font>
    <font>
      <sz val="9"/>
      <color rgb="FF00B050"/>
      <name val="WPS灵秀黑"/>
      <charset val="134"/>
    </font>
    <font>
      <sz val="9"/>
      <color rgb="FFFF0000"/>
      <name val="WPS灵秀黑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9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I7" sqref="I7"/>
    </sheetView>
  </sheetViews>
  <sheetFormatPr defaultColWidth="9" defaultRowHeight="13.5"/>
  <cols>
    <col min="7" max="7" width="25.625" customWidth="1"/>
    <col min="11" max="11" width="21.75" customWidth="1"/>
  </cols>
  <sheetData>
    <row r="1" spans="1:27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/>
      <c r="V1" s="1"/>
      <c r="W1" s="1"/>
      <c r="X1" s="1"/>
      <c r="Y1" s="1"/>
      <c r="Z1" s="1"/>
    </row>
    <row r="2" spans="1:27" ht="14.25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ht="14.25">
      <c r="A3" s="1" t="s">
        <v>19</v>
      </c>
      <c r="B3" s="19" t="s">
        <v>170</v>
      </c>
      <c r="C3" s="19" t="s">
        <v>170</v>
      </c>
      <c r="D3" s="19" t="s">
        <v>170</v>
      </c>
      <c r="E3" s="19" t="s">
        <v>170</v>
      </c>
      <c r="F3" s="19" t="s">
        <v>170</v>
      </c>
      <c r="G3" s="19" t="s">
        <v>170</v>
      </c>
      <c r="H3" s="19" t="s">
        <v>170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7" ht="14.25">
      <c r="A4" s="1" t="s">
        <v>20</v>
      </c>
      <c r="B4" s="1" t="s">
        <v>21</v>
      </c>
      <c r="C4" s="1" t="s">
        <v>22</v>
      </c>
      <c r="D4" s="1" t="s">
        <v>21</v>
      </c>
      <c r="E4" s="1" t="s">
        <v>21</v>
      </c>
      <c r="F4" s="1" t="s">
        <v>21</v>
      </c>
      <c r="G4" s="1" t="s">
        <v>22</v>
      </c>
      <c r="H4" s="1" t="s">
        <v>112</v>
      </c>
      <c r="I4" s="1"/>
      <c r="J4" s="1"/>
      <c r="K4" s="3"/>
      <c r="L4" s="4" t="s">
        <v>23</v>
      </c>
      <c r="M4" s="4" t="s">
        <v>24</v>
      </c>
      <c r="N4" s="4" t="s">
        <v>25</v>
      </c>
      <c r="O4" s="4" t="s">
        <v>26</v>
      </c>
      <c r="P4" s="3"/>
      <c r="Q4" s="4" t="s">
        <v>23</v>
      </c>
      <c r="R4" s="4" t="s">
        <v>24</v>
      </c>
      <c r="S4" s="4" t="s">
        <v>25</v>
      </c>
      <c r="T4" s="4" t="s">
        <v>26</v>
      </c>
      <c r="U4" s="9"/>
      <c r="V4" s="9"/>
      <c r="W4" s="9"/>
      <c r="X4" s="9"/>
      <c r="Y4" s="9"/>
      <c r="Z4" s="9"/>
    </row>
    <row r="5" spans="1:27" ht="14.25">
      <c r="A5" s="1"/>
      <c r="B5" s="1">
        <v>100001</v>
      </c>
      <c r="C5" s="1" t="s">
        <v>27</v>
      </c>
      <c r="D5" s="1">
        <v>1</v>
      </c>
      <c r="E5" s="1">
        <v>1</v>
      </c>
      <c r="F5" s="1">
        <v>100002</v>
      </c>
      <c r="G5" s="19" t="s">
        <v>155</v>
      </c>
      <c r="H5" s="1" t="s">
        <v>113</v>
      </c>
      <c r="I5" s="1"/>
      <c r="J5" s="1"/>
      <c r="K5" s="5" t="s">
        <v>28</v>
      </c>
      <c r="L5" s="4">
        <v>1</v>
      </c>
      <c r="M5" s="4">
        <v>1</v>
      </c>
      <c r="N5" s="4">
        <v>1</v>
      </c>
      <c r="O5" s="6" t="str">
        <f t="shared" ref="O5:O34" si="0">L5&amp;$N$4&amp;M5&amp;$N$4&amp;N5</f>
        <v>1参1参1</v>
      </c>
      <c r="P5" s="5" t="s">
        <v>28</v>
      </c>
      <c r="Q5" s="2">
        <v>1</v>
      </c>
      <c r="R5" s="2">
        <v>1</v>
      </c>
      <c r="S5" s="2">
        <v>1</v>
      </c>
      <c r="T5" s="6" t="str">
        <f t="shared" ref="T5:T34" si="1">Q5&amp;$N$4&amp;R5&amp;$N$4&amp;S5</f>
        <v>1参1参1</v>
      </c>
      <c r="U5" s="10">
        <v>1</v>
      </c>
      <c r="V5" s="10" t="s">
        <v>29</v>
      </c>
      <c r="W5" s="10">
        <v>10001</v>
      </c>
      <c r="X5" s="11" t="s">
        <v>30</v>
      </c>
      <c r="Y5" s="16">
        <v>80101</v>
      </c>
      <c r="Z5" s="17" t="s">
        <v>31</v>
      </c>
      <c r="AA5" s="9"/>
    </row>
    <row r="6" spans="1:27" ht="14.25">
      <c r="A6" s="1"/>
      <c r="B6" s="1">
        <v>100002</v>
      </c>
      <c r="C6" s="1" t="s">
        <v>32</v>
      </c>
      <c r="D6" s="1">
        <v>1</v>
      </c>
      <c r="E6" s="1">
        <v>1</v>
      </c>
      <c r="F6" s="1">
        <v>100003</v>
      </c>
      <c r="G6" s="19" t="s">
        <v>140</v>
      </c>
      <c r="H6" s="1" t="s">
        <v>114</v>
      </c>
      <c r="I6" s="1"/>
      <c r="J6" s="1"/>
      <c r="K6" s="5" t="s">
        <v>33</v>
      </c>
      <c r="L6" s="4">
        <v>4</v>
      </c>
      <c r="M6" s="4">
        <v>101</v>
      </c>
      <c r="N6" s="4">
        <v>2</v>
      </c>
      <c r="O6" s="6" t="str">
        <f t="shared" si="0"/>
        <v>4参101参2</v>
      </c>
      <c r="P6" s="5" t="s">
        <v>33</v>
      </c>
      <c r="Q6" s="4">
        <v>4</v>
      </c>
      <c r="R6" s="11">
        <v>101</v>
      </c>
      <c r="S6" s="11">
        <v>2</v>
      </c>
      <c r="T6" s="6" t="str">
        <f t="shared" si="1"/>
        <v>4参101参2</v>
      </c>
      <c r="U6" s="10">
        <v>2</v>
      </c>
      <c r="V6" s="10" t="s">
        <v>29</v>
      </c>
      <c r="W6" s="10">
        <v>10002</v>
      </c>
      <c r="X6" s="11" t="s">
        <v>30</v>
      </c>
      <c r="Y6" s="16">
        <v>80102</v>
      </c>
      <c r="Z6" s="17" t="s">
        <v>31</v>
      </c>
      <c r="AA6" s="9"/>
    </row>
    <row r="7" spans="1:27" ht="14.25">
      <c r="A7" s="1"/>
      <c r="B7" s="1">
        <v>100003</v>
      </c>
      <c r="C7" s="1" t="s">
        <v>34</v>
      </c>
      <c r="D7" s="1">
        <v>1</v>
      </c>
      <c r="E7" s="1">
        <v>1</v>
      </c>
      <c r="F7" s="1">
        <v>100004</v>
      </c>
      <c r="G7" s="19" t="s">
        <v>156</v>
      </c>
      <c r="H7" s="1" t="s">
        <v>115</v>
      </c>
      <c r="I7" s="1"/>
      <c r="J7" s="1"/>
      <c r="K7" s="7" t="s">
        <v>35</v>
      </c>
      <c r="L7" s="4">
        <v>3</v>
      </c>
      <c r="M7" s="4">
        <v>101</v>
      </c>
      <c r="N7" s="4">
        <v>2</v>
      </c>
      <c r="O7" s="6" t="str">
        <f t="shared" si="0"/>
        <v>3参101参2</v>
      </c>
      <c r="P7" s="5" t="str">
        <f t="shared" ref="P7:P34" si="2">P5</f>
        <v>1.指定ID建筑到达N级</v>
      </c>
      <c r="Q7" s="2">
        <v>1</v>
      </c>
      <c r="R7" s="11">
        <v>10001</v>
      </c>
      <c r="S7" s="11">
        <v>1</v>
      </c>
      <c r="T7" s="6" t="str">
        <f t="shared" si="1"/>
        <v>1参10001参1</v>
      </c>
      <c r="U7" s="10">
        <v>3</v>
      </c>
      <c r="V7" s="10" t="s">
        <v>29</v>
      </c>
      <c r="W7" s="10">
        <v>10003</v>
      </c>
      <c r="X7" s="11" t="s">
        <v>30</v>
      </c>
      <c r="Y7" s="16">
        <v>80103</v>
      </c>
      <c r="Z7" s="17" t="s">
        <v>31</v>
      </c>
      <c r="AA7" s="9"/>
    </row>
    <row r="8" spans="1:27" ht="14.25">
      <c r="A8" s="1"/>
      <c r="B8" s="1">
        <v>100004</v>
      </c>
      <c r="C8" s="1" t="s">
        <v>36</v>
      </c>
      <c r="D8" s="1">
        <v>1</v>
      </c>
      <c r="E8" s="1">
        <v>1</v>
      </c>
      <c r="F8" s="1">
        <v>100005</v>
      </c>
      <c r="G8" s="19" t="s">
        <v>141</v>
      </c>
      <c r="H8" s="1" t="s">
        <v>116</v>
      </c>
      <c r="I8" s="1"/>
      <c r="J8" s="1"/>
      <c r="K8" s="5" t="s">
        <v>37</v>
      </c>
      <c r="L8" s="4">
        <v>2</v>
      </c>
      <c r="M8" s="4">
        <v>101</v>
      </c>
      <c r="N8" s="4">
        <v>2</v>
      </c>
      <c r="O8" s="6" t="str">
        <f t="shared" si="0"/>
        <v>2参101参2</v>
      </c>
      <c r="P8" s="5" t="str">
        <f t="shared" si="2"/>
        <v>4.拥有N个指定ID地块</v>
      </c>
      <c r="Q8" s="4">
        <v>4</v>
      </c>
      <c r="R8" s="4">
        <f t="shared" ref="R8:R12" si="3">R6</f>
        <v>101</v>
      </c>
      <c r="S8" s="4">
        <f t="shared" ref="S8:S12" si="4">S6+1</f>
        <v>3</v>
      </c>
      <c r="T8" s="6" t="str">
        <f t="shared" si="1"/>
        <v>4参101参3</v>
      </c>
      <c r="U8" s="10">
        <v>4</v>
      </c>
      <c r="V8" s="10" t="s">
        <v>29</v>
      </c>
      <c r="W8" s="10">
        <v>10004</v>
      </c>
      <c r="X8" s="11" t="s">
        <v>30</v>
      </c>
      <c r="Y8" s="16">
        <v>80104</v>
      </c>
      <c r="Z8" s="17" t="s">
        <v>31</v>
      </c>
      <c r="AA8" s="9"/>
    </row>
    <row r="9" spans="1:27" ht="14.25">
      <c r="A9" s="1"/>
      <c r="B9" s="1">
        <v>100005</v>
      </c>
      <c r="C9" s="1" t="s">
        <v>38</v>
      </c>
      <c r="D9" s="1">
        <v>1</v>
      </c>
      <c r="E9" s="1">
        <v>1</v>
      </c>
      <c r="F9" s="1">
        <v>100006</v>
      </c>
      <c r="G9" s="19" t="s">
        <v>158</v>
      </c>
      <c r="H9" s="1" t="s">
        <v>117</v>
      </c>
      <c r="I9" s="1"/>
      <c r="J9" s="1"/>
      <c r="K9" s="5" t="s">
        <v>39</v>
      </c>
      <c r="L9" s="4">
        <v>5</v>
      </c>
      <c r="M9" s="4">
        <v>1</v>
      </c>
      <c r="N9" s="4">
        <v>50</v>
      </c>
      <c r="O9" s="6" t="str">
        <f t="shared" si="0"/>
        <v>5参1参50</v>
      </c>
      <c r="P9" s="5" t="str">
        <f t="shared" si="2"/>
        <v>1.指定ID建筑到达N级</v>
      </c>
      <c r="Q9" s="2">
        <v>1</v>
      </c>
      <c r="R9" s="11">
        <v>10002</v>
      </c>
      <c r="S9" s="11">
        <v>2</v>
      </c>
      <c r="T9" s="6" t="str">
        <f t="shared" si="1"/>
        <v>1参10002参2</v>
      </c>
      <c r="U9" s="10">
        <v>5</v>
      </c>
      <c r="V9" s="10" t="s">
        <v>29</v>
      </c>
      <c r="W9" s="10">
        <v>10005</v>
      </c>
      <c r="X9" s="11" t="s">
        <v>30</v>
      </c>
      <c r="Y9" s="16">
        <v>80105</v>
      </c>
      <c r="Z9" s="17" t="s">
        <v>31</v>
      </c>
      <c r="AA9" s="9"/>
    </row>
    <row r="10" spans="1:27" ht="14.25">
      <c r="A10" s="1"/>
      <c r="B10" s="1">
        <v>100006</v>
      </c>
      <c r="C10" s="1" t="s">
        <v>40</v>
      </c>
      <c r="D10" s="1">
        <v>1</v>
      </c>
      <c r="E10" s="1">
        <v>1</v>
      </c>
      <c r="F10" s="1">
        <v>100007</v>
      </c>
      <c r="G10" s="19" t="s">
        <v>142</v>
      </c>
      <c r="H10" s="1" t="s">
        <v>118</v>
      </c>
      <c r="I10" s="1"/>
      <c r="J10" s="1"/>
      <c r="K10" s="5" t="s">
        <v>41</v>
      </c>
      <c r="L10" s="4">
        <v>6</v>
      </c>
      <c r="M10" s="4">
        <v>10</v>
      </c>
      <c r="N10" s="4">
        <v>10</v>
      </c>
      <c r="O10" s="6" t="str">
        <f t="shared" si="0"/>
        <v>6参10参10</v>
      </c>
      <c r="P10" s="5" t="str">
        <f t="shared" si="2"/>
        <v>4.拥有N个指定ID地块</v>
      </c>
      <c r="Q10" s="4">
        <v>4</v>
      </c>
      <c r="R10" s="4">
        <f t="shared" si="3"/>
        <v>101</v>
      </c>
      <c r="S10" s="4">
        <f t="shared" si="4"/>
        <v>4</v>
      </c>
      <c r="T10" s="6" t="str">
        <f t="shared" si="1"/>
        <v>4参101参4</v>
      </c>
      <c r="U10" s="10">
        <v>6</v>
      </c>
      <c r="V10" s="10" t="s">
        <v>29</v>
      </c>
      <c r="W10" s="10">
        <v>10006</v>
      </c>
      <c r="X10" s="11" t="s">
        <v>30</v>
      </c>
      <c r="Y10" s="16">
        <v>80106</v>
      </c>
      <c r="Z10" s="17" t="s">
        <v>31</v>
      </c>
      <c r="AA10" s="9"/>
    </row>
    <row r="11" spans="1:27" ht="14.25">
      <c r="A11" s="1"/>
      <c r="B11" s="1">
        <v>100007</v>
      </c>
      <c r="C11" s="1" t="s">
        <v>42</v>
      </c>
      <c r="D11" s="1">
        <v>1</v>
      </c>
      <c r="E11" s="1">
        <v>1</v>
      </c>
      <c r="F11" s="1">
        <v>100008</v>
      </c>
      <c r="G11" s="19" t="s">
        <v>157</v>
      </c>
      <c r="H11" s="1" t="s">
        <v>119</v>
      </c>
      <c r="I11" s="1"/>
      <c r="J11" s="1"/>
      <c r="K11" s="5" t="s">
        <v>43</v>
      </c>
      <c r="L11" s="4">
        <v>7</v>
      </c>
      <c r="M11" s="4">
        <v>1</v>
      </c>
      <c r="N11" s="4">
        <v>1</v>
      </c>
      <c r="O11" s="6" t="str">
        <f t="shared" si="0"/>
        <v>7参1参1</v>
      </c>
      <c r="P11" s="5" t="str">
        <f t="shared" si="2"/>
        <v>1.指定ID建筑到达N级</v>
      </c>
      <c r="Q11" s="2">
        <v>1</v>
      </c>
      <c r="R11" s="12">
        <v>102</v>
      </c>
      <c r="S11" s="12">
        <v>2</v>
      </c>
      <c r="T11" s="6" t="str">
        <f t="shared" si="1"/>
        <v>1参102参2</v>
      </c>
      <c r="U11" s="10">
        <v>7</v>
      </c>
      <c r="V11" s="10" t="s">
        <v>29</v>
      </c>
      <c r="W11" s="10">
        <v>10007</v>
      </c>
      <c r="X11" s="11" t="s">
        <v>30</v>
      </c>
      <c r="Y11" s="16">
        <v>80107</v>
      </c>
      <c r="Z11" s="17" t="s">
        <v>31</v>
      </c>
      <c r="AA11" s="9"/>
    </row>
    <row r="12" spans="1:27" ht="14.25">
      <c r="A12" s="1"/>
      <c r="B12" s="1">
        <v>100008</v>
      </c>
      <c r="C12" s="1" t="s">
        <v>44</v>
      </c>
      <c r="D12" s="1">
        <v>1</v>
      </c>
      <c r="E12" s="1">
        <v>1</v>
      </c>
      <c r="F12" s="1">
        <v>100009</v>
      </c>
      <c r="G12" s="19" t="s">
        <v>143</v>
      </c>
      <c r="H12" s="1" t="s">
        <v>120</v>
      </c>
      <c r="I12" s="1"/>
      <c r="J12" s="1"/>
      <c r="K12" s="5" t="s">
        <v>45</v>
      </c>
      <c r="L12" s="4">
        <v>8</v>
      </c>
      <c r="M12" s="4">
        <v>5</v>
      </c>
      <c r="N12" s="4">
        <v>1</v>
      </c>
      <c r="O12" s="6" t="str">
        <f t="shared" si="0"/>
        <v>8参5参1</v>
      </c>
      <c r="P12" s="5" t="str">
        <f t="shared" si="2"/>
        <v>4.拥有N个指定ID地块</v>
      </c>
      <c r="Q12" s="4">
        <v>4</v>
      </c>
      <c r="R12" s="4">
        <f t="shared" si="3"/>
        <v>101</v>
      </c>
      <c r="S12" s="4">
        <f t="shared" si="4"/>
        <v>5</v>
      </c>
      <c r="T12" s="6" t="str">
        <f t="shared" si="1"/>
        <v>4参101参5</v>
      </c>
      <c r="U12" s="10">
        <v>8</v>
      </c>
      <c r="V12" s="10" t="s">
        <v>29</v>
      </c>
      <c r="W12" s="10">
        <v>10008</v>
      </c>
      <c r="X12" s="11" t="s">
        <v>30</v>
      </c>
      <c r="Y12" s="16">
        <v>80108</v>
      </c>
      <c r="Z12" s="17" t="s">
        <v>31</v>
      </c>
      <c r="AA12" s="9"/>
    </row>
    <row r="13" spans="1:27" ht="14.25">
      <c r="A13" s="1"/>
      <c r="B13" s="1">
        <v>100009</v>
      </c>
      <c r="C13" s="1" t="s">
        <v>46</v>
      </c>
      <c r="D13" s="1">
        <v>1</v>
      </c>
      <c r="E13" s="1">
        <v>1</v>
      </c>
      <c r="F13" s="1">
        <v>100010</v>
      </c>
      <c r="G13" s="19" t="s">
        <v>160</v>
      </c>
      <c r="H13" s="1" t="s">
        <v>121</v>
      </c>
      <c r="I13" s="1"/>
      <c r="J13" s="1"/>
      <c r="K13" s="5" t="s">
        <v>28</v>
      </c>
      <c r="L13" s="8">
        <f>L5</f>
        <v>1</v>
      </c>
      <c r="M13" s="8">
        <v>1</v>
      </c>
      <c r="N13" s="8">
        <f>N5+1</f>
        <v>2</v>
      </c>
      <c r="O13" s="6" t="str">
        <f t="shared" si="0"/>
        <v>1参1参2</v>
      </c>
      <c r="P13" s="5" t="str">
        <f t="shared" si="2"/>
        <v>1.指定ID建筑到达N级</v>
      </c>
      <c r="Q13" s="2">
        <v>1</v>
      </c>
      <c r="R13" s="2">
        <v>2</v>
      </c>
      <c r="S13" s="2">
        <v>2</v>
      </c>
      <c r="T13" s="6" t="str">
        <f t="shared" si="1"/>
        <v>1参2参2</v>
      </c>
      <c r="U13" s="10">
        <v>9</v>
      </c>
      <c r="V13" s="10" t="s">
        <v>29</v>
      </c>
      <c r="W13" s="10">
        <v>10009</v>
      </c>
      <c r="X13" s="11" t="s">
        <v>30</v>
      </c>
      <c r="Y13" s="16">
        <v>80109</v>
      </c>
      <c r="Z13" s="17" t="s">
        <v>31</v>
      </c>
      <c r="AA13" s="9"/>
    </row>
    <row r="14" spans="1:27" ht="14.25">
      <c r="A14" s="1"/>
      <c r="B14" s="1">
        <v>100010</v>
      </c>
      <c r="C14" s="1" t="s">
        <v>47</v>
      </c>
      <c r="D14" s="1">
        <v>1</v>
      </c>
      <c r="E14" s="1">
        <v>1</v>
      </c>
      <c r="F14" s="1">
        <v>100011</v>
      </c>
      <c r="G14" s="19" t="s">
        <v>144</v>
      </c>
      <c r="H14" s="1" t="s">
        <v>113</v>
      </c>
      <c r="I14" s="1"/>
      <c r="J14" s="1"/>
      <c r="K14" s="5" t="s">
        <v>33</v>
      </c>
      <c r="L14" s="8">
        <f>L6</f>
        <v>4</v>
      </c>
      <c r="M14" s="8">
        <v>101</v>
      </c>
      <c r="N14" s="8">
        <f>N6+1</f>
        <v>3</v>
      </c>
      <c r="O14" s="6" t="str">
        <f t="shared" si="0"/>
        <v>4参101参3</v>
      </c>
      <c r="P14" s="5" t="str">
        <f t="shared" si="2"/>
        <v>4.拥有N个指定ID地块</v>
      </c>
      <c r="Q14" s="4">
        <v>4</v>
      </c>
      <c r="R14" s="11">
        <v>102</v>
      </c>
      <c r="S14" s="11">
        <v>1</v>
      </c>
      <c r="T14" s="6" t="str">
        <f t="shared" si="1"/>
        <v>4参102参1</v>
      </c>
      <c r="U14" s="10">
        <v>10</v>
      </c>
      <c r="V14" s="10" t="s">
        <v>29</v>
      </c>
      <c r="W14" s="10">
        <v>10010</v>
      </c>
      <c r="X14" s="11" t="s">
        <v>30</v>
      </c>
      <c r="Y14" s="16">
        <v>80110</v>
      </c>
      <c r="Z14" s="17" t="s">
        <v>31</v>
      </c>
      <c r="AA14" s="9"/>
    </row>
    <row r="15" spans="1:27" ht="14.25">
      <c r="A15" s="1"/>
      <c r="B15" s="1">
        <v>100011</v>
      </c>
      <c r="C15" s="1" t="s">
        <v>48</v>
      </c>
      <c r="D15" s="1">
        <v>1</v>
      </c>
      <c r="E15" s="1">
        <v>1</v>
      </c>
      <c r="F15" s="1">
        <v>100012</v>
      </c>
      <c r="G15" s="19" t="s">
        <v>161</v>
      </c>
      <c r="H15" s="1" t="s">
        <v>122</v>
      </c>
      <c r="I15" s="1"/>
      <c r="J15" s="1"/>
      <c r="K15" s="5" t="s">
        <v>37</v>
      </c>
      <c r="L15" s="8">
        <f t="shared" ref="L15:L34" si="5">L8</f>
        <v>2</v>
      </c>
      <c r="M15" s="8">
        <v>101</v>
      </c>
      <c r="N15" s="8">
        <v>3</v>
      </c>
      <c r="O15" s="6" t="str">
        <f t="shared" si="0"/>
        <v>2参101参3</v>
      </c>
      <c r="P15" s="5" t="str">
        <f t="shared" si="2"/>
        <v>1.指定ID建筑到达N级</v>
      </c>
      <c r="Q15" s="2">
        <v>1</v>
      </c>
      <c r="R15" s="13">
        <v>10101</v>
      </c>
      <c r="S15" s="13">
        <v>1</v>
      </c>
      <c r="T15" s="6" t="str">
        <f t="shared" si="1"/>
        <v>1参10101参1</v>
      </c>
      <c r="U15" s="12">
        <v>101</v>
      </c>
      <c r="V15" s="12" t="s">
        <v>49</v>
      </c>
      <c r="W15" s="10">
        <v>10101</v>
      </c>
      <c r="X15" s="13" t="s">
        <v>50</v>
      </c>
      <c r="Y15" s="10">
        <v>99901</v>
      </c>
      <c r="Z15" s="18" t="s">
        <v>51</v>
      </c>
      <c r="AA15" s="9"/>
    </row>
    <row r="16" spans="1:27" ht="14.25">
      <c r="A16" s="1"/>
      <c r="B16" s="1">
        <v>100012</v>
      </c>
      <c r="C16" s="1" t="s">
        <v>52</v>
      </c>
      <c r="D16" s="1">
        <v>1</v>
      </c>
      <c r="E16" s="1">
        <v>1</v>
      </c>
      <c r="F16" s="1">
        <v>100013</v>
      </c>
      <c r="G16" s="19" t="s">
        <v>145</v>
      </c>
      <c r="H16" s="1" t="s">
        <v>123</v>
      </c>
      <c r="I16" s="1"/>
      <c r="J16" s="1"/>
      <c r="K16" s="5" t="s">
        <v>39</v>
      </c>
      <c r="L16" s="8">
        <f t="shared" si="5"/>
        <v>5</v>
      </c>
      <c r="M16" s="8">
        <v>1</v>
      </c>
      <c r="N16" s="8">
        <f>N9+50</f>
        <v>100</v>
      </c>
      <c r="O16" s="6" t="str">
        <f t="shared" si="0"/>
        <v>5参1参100</v>
      </c>
      <c r="P16" s="5" t="str">
        <f t="shared" si="2"/>
        <v>4.拥有N个指定ID地块</v>
      </c>
      <c r="Q16" s="4">
        <v>4</v>
      </c>
      <c r="R16" s="4">
        <f t="shared" ref="R16:R20" si="6">R14</f>
        <v>102</v>
      </c>
      <c r="S16" s="4">
        <f t="shared" ref="S16:S20" si="7">S14+1</f>
        <v>2</v>
      </c>
      <c r="T16" s="6" t="str">
        <f t="shared" si="1"/>
        <v>4参102参2</v>
      </c>
      <c r="U16" s="12">
        <v>102</v>
      </c>
      <c r="V16" s="12" t="s">
        <v>49</v>
      </c>
      <c r="W16" s="10">
        <v>10102</v>
      </c>
      <c r="X16" s="13" t="s">
        <v>50</v>
      </c>
      <c r="Y16" s="6"/>
      <c r="Z16" s="6"/>
      <c r="AA16" s="9"/>
    </row>
    <row r="17" spans="1:27" ht="14.25">
      <c r="A17" s="1"/>
      <c r="B17" s="1">
        <v>100013</v>
      </c>
      <c r="C17" s="1" t="s">
        <v>53</v>
      </c>
      <c r="D17" s="1">
        <v>1</v>
      </c>
      <c r="E17" s="1">
        <v>1</v>
      </c>
      <c r="F17" s="1">
        <v>100014</v>
      </c>
      <c r="G17" s="19" t="s">
        <v>159</v>
      </c>
      <c r="H17" s="1" t="s">
        <v>124</v>
      </c>
      <c r="I17" s="1"/>
      <c r="J17" s="1"/>
      <c r="K17" s="5" t="s">
        <v>41</v>
      </c>
      <c r="L17" s="8">
        <f t="shared" si="5"/>
        <v>6</v>
      </c>
      <c r="M17" s="8">
        <v>1</v>
      </c>
      <c r="N17" s="8">
        <v>100</v>
      </c>
      <c r="O17" s="6" t="str">
        <f t="shared" si="0"/>
        <v>6参1参100</v>
      </c>
      <c r="P17" s="5" t="str">
        <f t="shared" si="2"/>
        <v>1.指定ID建筑到达N级</v>
      </c>
      <c r="Q17" s="2">
        <v>1</v>
      </c>
      <c r="R17" s="13">
        <v>10102</v>
      </c>
      <c r="S17" s="13">
        <v>2</v>
      </c>
      <c r="T17" s="6" t="str">
        <f t="shared" si="1"/>
        <v>1参10102参2</v>
      </c>
      <c r="U17" s="12">
        <v>103</v>
      </c>
      <c r="V17" s="12" t="s">
        <v>49</v>
      </c>
      <c r="W17" s="10">
        <v>10103</v>
      </c>
      <c r="X17" s="13" t="s">
        <v>50</v>
      </c>
      <c r="Y17" s="6"/>
      <c r="Z17" s="6"/>
      <c r="AA17" s="9"/>
    </row>
    <row r="18" spans="1:27" ht="14.25">
      <c r="A18" s="1"/>
      <c r="B18" s="1">
        <v>100014</v>
      </c>
      <c r="C18" s="1" t="s">
        <v>54</v>
      </c>
      <c r="D18" s="1">
        <v>1</v>
      </c>
      <c r="E18" s="1">
        <v>1</v>
      </c>
      <c r="F18" s="1">
        <v>100015</v>
      </c>
      <c r="G18" s="19" t="s">
        <v>146</v>
      </c>
      <c r="H18" s="1" t="s">
        <v>125</v>
      </c>
      <c r="I18" s="1"/>
      <c r="J18" s="1"/>
      <c r="K18" s="5" t="s">
        <v>43</v>
      </c>
      <c r="L18" s="8">
        <f t="shared" si="5"/>
        <v>7</v>
      </c>
      <c r="M18" s="8">
        <v>1</v>
      </c>
      <c r="N18" s="8">
        <v>2</v>
      </c>
      <c r="O18" s="6" t="str">
        <f t="shared" si="0"/>
        <v>7参1参2</v>
      </c>
      <c r="P18" s="5" t="str">
        <f t="shared" si="2"/>
        <v>4.拥有N个指定ID地块</v>
      </c>
      <c r="Q18" s="4">
        <v>4</v>
      </c>
      <c r="R18" s="4">
        <f t="shared" si="6"/>
        <v>102</v>
      </c>
      <c r="S18" s="4">
        <f t="shared" si="7"/>
        <v>3</v>
      </c>
      <c r="T18" s="6" t="str">
        <f t="shared" si="1"/>
        <v>4参102参3</v>
      </c>
      <c r="U18" s="12">
        <v>104</v>
      </c>
      <c r="V18" s="12" t="s">
        <v>49</v>
      </c>
      <c r="W18" s="10">
        <v>10104</v>
      </c>
      <c r="X18" s="13" t="s">
        <v>50</v>
      </c>
      <c r="Y18" s="6"/>
      <c r="Z18" s="6"/>
      <c r="AA18" s="9"/>
    </row>
    <row r="19" spans="1:27" ht="14.25">
      <c r="A19" s="1"/>
      <c r="B19" s="1">
        <v>100015</v>
      </c>
      <c r="C19" s="1" t="s">
        <v>55</v>
      </c>
      <c r="D19" s="1">
        <v>1</v>
      </c>
      <c r="E19" s="1">
        <v>1</v>
      </c>
      <c r="F19" s="1">
        <v>100016</v>
      </c>
      <c r="G19" s="19" t="s">
        <v>162</v>
      </c>
      <c r="H19" s="1" t="s">
        <v>126</v>
      </c>
      <c r="I19" s="1"/>
      <c r="J19" s="1"/>
      <c r="K19" s="5" t="s">
        <v>45</v>
      </c>
      <c r="L19" s="8">
        <f t="shared" si="5"/>
        <v>8</v>
      </c>
      <c r="M19" s="8">
        <v>5</v>
      </c>
      <c r="N19" s="8">
        <v>5</v>
      </c>
      <c r="O19" s="6" t="str">
        <f t="shared" si="0"/>
        <v>8参5参5</v>
      </c>
      <c r="P19" s="5" t="str">
        <f t="shared" si="2"/>
        <v>1.指定ID建筑到达N级</v>
      </c>
      <c r="Q19" s="2">
        <v>1</v>
      </c>
      <c r="R19" s="14">
        <v>201</v>
      </c>
      <c r="S19" s="14">
        <v>1</v>
      </c>
      <c r="T19" s="6" t="str">
        <f t="shared" si="1"/>
        <v>1参201参1</v>
      </c>
      <c r="U19" s="12">
        <v>105</v>
      </c>
      <c r="V19" s="12" t="s">
        <v>49</v>
      </c>
      <c r="W19" s="10">
        <v>10105</v>
      </c>
      <c r="X19" s="13" t="s">
        <v>50</v>
      </c>
      <c r="Y19" s="6"/>
      <c r="Z19" s="6"/>
      <c r="AA19" s="9"/>
    </row>
    <row r="20" spans="1:27" ht="14.25">
      <c r="A20" s="1"/>
      <c r="B20" s="1">
        <v>100016</v>
      </c>
      <c r="C20" s="1" t="s">
        <v>56</v>
      </c>
      <c r="D20" s="1">
        <v>1</v>
      </c>
      <c r="E20" s="1">
        <v>1</v>
      </c>
      <c r="F20" s="1">
        <v>100017</v>
      </c>
      <c r="G20" s="19" t="s">
        <v>147</v>
      </c>
      <c r="H20" s="1" t="s">
        <v>127</v>
      </c>
      <c r="I20" s="1"/>
      <c r="J20" s="1"/>
      <c r="K20" s="5" t="s">
        <v>28</v>
      </c>
      <c r="L20" s="4">
        <f t="shared" si="5"/>
        <v>1</v>
      </c>
      <c r="M20" s="4">
        <v>1</v>
      </c>
      <c r="N20" s="4">
        <v>3</v>
      </c>
      <c r="O20" s="6" t="str">
        <f t="shared" si="0"/>
        <v>1参1参3</v>
      </c>
      <c r="P20" s="5" t="str">
        <f t="shared" si="2"/>
        <v>4.拥有N个指定ID地块</v>
      </c>
      <c r="Q20" s="4">
        <v>4</v>
      </c>
      <c r="R20" s="4">
        <f t="shared" si="6"/>
        <v>102</v>
      </c>
      <c r="S20" s="4">
        <f t="shared" si="7"/>
        <v>4</v>
      </c>
      <c r="T20" s="6" t="str">
        <f t="shared" si="1"/>
        <v>4参102参4</v>
      </c>
      <c r="U20" s="12">
        <v>106</v>
      </c>
      <c r="V20" s="12" t="s">
        <v>49</v>
      </c>
      <c r="W20" s="10">
        <v>10106</v>
      </c>
      <c r="X20" s="13" t="s">
        <v>50</v>
      </c>
      <c r="Y20" s="6"/>
      <c r="Z20" s="6"/>
      <c r="AA20" s="9"/>
    </row>
    <row r="21" spans="1:27" ht="14.25">
      <c r="A21" s="1"/>
      <c r="B21" s="1">
        <v>100017</v>
      </c>
      <c r="C21" s="1" t="s">
        <v>57</v>
      </c>
      <c r="D21" s="1">
        <v>1</v>
      </c>
      <c r="E21" s="1">
        <v>1</v>
      </c>
      <c r="F21" s="1">
        <v>100018</v>
      </c>
      <c r="G21" s="19" t="s">
        <v>163</v>
      </c>
      <c r="H21" s="1" t="s">
        <v>128</v>
      </c>
      <c r="I21" s="1"/>
      <c r="J21" s="1"/>
      <c r="K21" s="5" t="s">
        <v>33</v>
      </c>
      <c r="L21" s="4">
        <f t="shared" si="5"/>
        <v>4</v>
      </c>
      <c r="M21" s="4">
        <v>101</v>
      </c>
      <c r="N21" s="4">
        <v>4</v>
      </c>
      <c r="O21" s="6" t="str">
        <f t="shared" si="0"/>
        <v>4参101参4</v>
      </c>
      <c r="P21" s="5" t="str">
        <f t="shared" si="2"/>
        <v>1.指定ID建筑到达N级</v>
      </c>
      <c r="Q21" s="2">
        <v>1</v>
      </c>
      <c r="R21" s="14">
        <v>202</v>
      </c>
      <c r="S21" s="14">
        <v>2</v>
      </c>
      <c r="T21" s="6" t="str">
        <f t="shared" si="1"/>
        <v>1参202参2</v>
      </c>
      <c r="U21" s="12">
        <v>107</v>
      </c>
      <c r="V21" s="12" t="s">
        <v>49</v>
      </c>
      <c r="W21" s="10">
        <v>10107</v>
      </c>
      <c r="X21" s="13" t="s">
        <v>50</v>
      </c>
      <c r="Y21" s="6"/>
      <c r="Z21" s="6"/>
      <c r="AA21" s="9"/>
    </row>
    <row r="22" spans="1:27" ht="14.25">
      <c r="A22" s="1"/>
      <c r="B22" s="1">
        <v>100018</v>
      </c>
      <c r="C22" s="1" t="s">
        <v>58</v>
      </c>
      <c r="D22" s="1">
        <v>1</v>
      </c>
      <c r="E22" s="1">
        <v>1</v>
      </c>
      <c r="F22" s="1">
        <v>100019</v>
      </c>
      <c r="G22" s="19" t="s">
        <v>148</v>
      </c>
      <c r="H22" s="1" t="s">
        <v>129</v>
      </c>
      <c r="I22" s="1"/>
      <c r="J22" s="1"/>
      <c r="K22" s="5" t="s">
        <v>37</v>
      </c>
      <c r="L22" s="4">
        <f t="shared" si="5"/>
        <v>2</v>
      </c>
      <c r="M22" s="4">
        <v>101</v>
      </c>
      <c r="N22" s="4">
        <f>N15+1</f>
        <v>4</v>
      </c>
      <c r="O22" s="6" t="str">
        <f t="shared" si="0"/>
        <v>2参101参4</v>
      </c>
      <c r="P22" s="5" t="str">
        <f t="shared" si="2"/>
        <v>4.拥有N个指定ID地块</v>
      </c>
      <c r="Q22" s="4">
        <v>4</v>
      </c>
      <c r="R22" s="4">
        <f>R20</f>
        <v>102</v>
      </c>
      <c r="S22" s="4">
        <f>S20+1</f>
        <v>5</v>
      </c>
      <c r="T22" s="6" t="str">
        <f t="shared" si="1"/>
        <v>4参102参5</v>
      </c>
      <c r="U22" s="12">
        <v>108</v>
      </c>
      <c r="V22" s="12" t="s">
        <v>49</v>
      </c>
      <c r="W22" s="10">
        <v>10108</v>
      </c>
      <c r="X22" s="13" t="s">
        <v>50</v>
      </c>
      <c r="Y22" s="6"/>
      <c r="Z22" s="6"/>
      <c r="AA22" s="9"/>
    </row>
    <row r="23" spans="1:27" ht="14.25">
      <c r="A23" s="1"/>
      <c r="B23" s="1">
        <v>100019</v>
      </c>
      <c r="C23" s="1" t="s">
        <v>59</v>
      </c>
      <c r="D23" s="1">
        <v>1</v>
      </c>
      <c r="E23" s="1">
        <v>1</v>
      </c>
      <c r="F23" s="1">
        <v>100020</v>
      </c>
      <c r="G23" s="19" t="s">
        <v>164</v>
      </c>
      <c r="H23" s="1" t="s">
        <v>130</v>
      </c>
      <c r="I23" s="1"/>
      <c r="J23" s="1"/>
      <c r="K23" s="5" t="s">
        <v>39</v>
      </c>
      <c r="L23" s="4">
        <f t="shared" si="5"/>
        <v>5</v>
      </c>
      <c r="M23" s="4">
        <v>1</v>
      </c>
      <c r="N23" s="4">
        <f>N16+50</f>
        <v>150</v>
      </c>
      <c r="O23" s="6" t="str">
        <f t="shared" si="0"/>
        <v>5参1参150</v>
      </c>
      <c r="P23" s="5" t="str">
        <f t="shared" si="2"/>
        <v>1.指定ID建筑到达N级</v>
      </c>
      <c r="Q23" s="2">
        <v>1</v>
      </c>
      <c r="R23" s="2">
        <v>3</v>
      </c>
      <c r="S23" s="2">
        <v>3</v>
      </c>
      <c r="T23" s="6" t="str">
        <f t="shared" si="1"/>
        <v>1参3参3</v>
      </c>
      <c r="U23" s="12">
        <v>109</v>
      </c>
      <c r="V23" s="12" t="s">
        <v>49</v>
      </c>
      <c r="W23" s="10">
        <v>10109</v>
      </c>
      <c r="X23" s="13" t="s">
        <v>50</v>
      </c>
      <c r="Y23" s="6"/>
      <c r="Z23" s="6"/>
      <c r="AA23" s="9"/>
    </row>
    <row r="24" spans="1:27" ht="14.25">
      <c r="A24" s="1"/>
      <c r="B24" s="1">
        <v>100020</v>
      </c>
      <c r="C24" s="1" t="s">
        <v>60</v>
      </c>
      <c r="D24" s="1">
        <v>1</v>
      </c>
      <c r="E24" s="1">
        <v>1</v>
      </c>
      <c r="F24" s="1">
        <v>100021</v>
      </c>
      <c r="G24" s="19" t="s">
        <v>149</v>
      </c>
      <c r="H24" s="1" t="s">
        <v>114</v>
      </c>
      <c r="I24" s="1"/>
      <c r="J24" s="1"/>
      <c r="K24" s="5" t="s">
        <v>41</v>
      </c>
      <c r="L24" s="4">
        <f t="shared" si="5"/>
        <v>6</v>
      </c>
      <c r="M24" s="4">
        <v>10</v>
      </c>
      <c r="N24" s="4">
        <v>10</v>
      </c>
      <c r="O24" s="6" t="str">
        <f t="shared" si="0"/>
        <v>6参10参10</v>
      </c>
      <c r="P24" s="5" t="str">
        <f t="shared" si="2"/>
        <v>4.拥有N个指定ID地块</v>
      </c>
      <c r="Q24" s="4">
        <v>4</v>
      </c>
      <c r="R24" s="11">
        <v>103</v>
      </c>
      <c r="S24" s="11">
        <v>1</v>
      </c>
      <c r="T24" s="6" t="str">
        <f t="shared" si="1"/>
        <v>4参103参1</v>
      </c>
      <c r="U24" s="12">
        <v>110</v>
      </c>
      <c r="V24" s="12" t="s">
        <v>49</v>
      </c>
      <c r="W24" s="10">
        <v>10110</v>
      </c>
      <c r="X24" s="13" t="s">
        <v>50</v>
      </c>
      <c r="Y24" s="6"/>
      <c r="Z24" s="6"/>
      <c r="AA24" s="9"/>
    </row>
    <row r="25" spans="1:27" ht="14.25">
      <c r="A25" s="1"/>
      <c r="B25" s="1">
        <v>100021</v>
      </c>
      <c r="C25" s="1" t="s">
        <v>61</v>
      </c>
      <c r="D25" s="1">
        <v>1</v>
      </c>
      <c r="E25" s="1">
        <v>1</v>
      </c>
      <c r="F25" s="1">
        <v>100022</v>
      </c>
      <c r="G25" s="19" t="s">
        <v>165</v>
      </c>
      <c r="H25" s="1" t="s">
        <v>131</v>
      </c>
      <c r="I25" s="1"/>
      <c r="J25" s="1"/>
      <c r="K25" s="5" t="s">
        <v>43</v>
      </c>
      <c r="L25" s="4">
        <f t="shared" si="5"/>
        <v>7</v>
      </c>
      <c r="M25" s="4">
        <v>1</v>
      </c>
      <c r="N25" s="4">
        <v>3</v>
      </c>
      <c r="O25" s="6" t="str">
        <f t="shared" si="0"/>
        <v>7参1参3</v>
      </c>
      <c r="P25" s="5" t="str">
        <f t="shared" si="2"/>
        <v>1.指定ID建筑到达N级</v>
      </c>
      <c r="Q25" s="2">
        <v>1</v>
      </c>
      <c r="R25" s="12">
        <v>103</v>
      </c>
      <c r="S25" s="4">
        <v>3</v>
      </c>
      <c r="T25" s="6" t="str">
        <f t="shared" si="1"/>
        <v>1参103参3</v>
      </c>
      <c r="U25" s="14">
        <v>201</v>
      </c>
      <c r="V25" s="14" t="s">
        <v>62</v>
      </c>
      <c r="W25" s="15">
        <v>80001</v>
      </c>
      <c r="X25" s="8" t="s">
        <v>63</v>
      </c>
      <c r="Y25" s="6"/>
      <c r="Z25" s="6"/>
      <c r="AA25" s="9"/>
    </row>
    <row r="26" spans="1:27" ht="14.25">
      <c r="A26" s="1"/>
      <c r="B26" s="1">
        <v>100022</v>
      </c>
      <c r="C26" s="1" t="s">
        <v>64</v>
      </c>
      <c r="D26" s="1">
        <v>1</v>
      </c>
      <c r="E26" s="1">
        <v>1</v>
      </c>
      <c r="F26" s="1">
        <v>100023</v>
      </c>
      <c r="G26" s="19" t="s">
        <v>150</v>
      </c>
      <c r="H26" s="1" t="s">
        <v>132</v>
      </c>
      <c r="I26" s="1"/>
      <c r="J26" s="1"/>
      <c r="K26" s="5" t="s">
        <v>45</v>
      </c>
      <c r="L26" s="4">
        <f t="shared" si="5"/>
        <v>8</v>
      </c>
      <c r="M26" s="4">
        <v>5</v>
      </c>
      <c r="N26" s="4">
        <v>3</v>
      </c>
      <c r="O26" s="6" t="str">
        <f t="shared" si="0"/>
        <v>8参5参3</v>
      </c>
      <c r="P26" s="5" t="str">
        <f t="shared" si="2"/>
        <v>4.拥有N个指定ID地块</v>
      </c>
      <c r="Q26" s="4">
        <v>4</v>
      </c>
      <c r="R26" s="4">
        <f t="shared" ref="R26:R30" si="8">R24</f>
        <v>103</v>
      </c>
      <c r="S26" s="4">
        <f t="shared" ref="S26:S30" si="9">S24+1</f>
        <v>2</v>
      </c>
      <c r="T26" s="6" t="str">
        <f t="shared" si="1"/>
        <v>4参103参2</v>
      </c>
      <c r="U26" s="14">
        <v>202</v>
      </c>
      <c r="V26" s="14" t="s">
        <v>62</v>
      </c>
      <c r="W26" s="15">
        <v>80002</v>
      </c>
      <c r="X26" s="8" t="s">
        <v>63</v>
      </c>
      <c r="Y26" s="6"/>
      <c r="Z26" s="6"/>
      <c r="AA26" s="9"/>
    </row>
    <row r="27" spans="1:27" ht="14.25">
      <c r="A27" s="1"/>
      <c r="B27" s="1">
        <v>100023</v>
      </c>
      <c r="C27" s="1" t="s">
        <v>65</v>
      </c>
      <c r="D27" s="1">
        <v>1</v>
      </c>
      <c r="E27" s="1">
        <v>1</v>
      </c>
      <c r="F27" s="1">
        <v>100024</v>
      </c>
      <c r="G27" s="19" t="s">
        <v>166</v>
      </c>
      <c r="H27" s="1" t="s">
        <v>133</v>
      </c>
      <c r="I27" s="1"/>
      <c r="J27" s="1"/>
      <c r="K27" s="5" t="s">
        <v>28</v>
      </c>
      <c r="L27" s="8">
        <f t="shared" si="5"/>
        <v>1</v>
      </c>
      <c r="M27" s="8">
        <v>1</v>
      </c>
      <c r="N27" s="8">
        <v>4</v>
      </c>
      <c r="O27" s="6" t="str">
        <f t="shared" si="0"/>
        <v>1参1参4</v>
      </c>
      <c r="P27" s="5" t="str">
        <f t="shared" si="2"/>
        <v>1.指定ID建筑到达N级</v>
      </c>
      <c r="Q27" s="2">
        <v>1</v>
      </c>
      <c r="R27" s="13">
        <v>10103</v>
      </c>
      <c r="S27" s="8">
        <v>3</v>
      </c>
      <c r="T27" s="6" t="str">
        <f t="shared" si="1"/>
        <v>1参10103参3</v>
      </c>
      <c r="U27" s="14">
        <v>203</v>
      </c>
      <c r="V27" s="14" t="s">
        <v>62</v>
      </c>
      <c r="W27" s="15">
        <v>80003</v>
      </c>
      <c r="X27" s="8" t="s">
        <v>63</v>
      </c>
      <c r="Y27" s="6"/>
      <c r="Z27" s="6"/>
      <c r="AA27" s="9"/>
    </row>
    <row r="28" spans="1:27" ht="14.25">
      <c r="A28" s="1"/>
      <c r="B28" s="1">
        <v>100024</v>
      </c>
      <c r="C28" s="1" t="s">
        <v>66</v>
      </c>
      <c r="D28" s="1">
        <v>1</v>
      </c>
      <c r="E28" s="1">
        <v>1</v>
      </c>
      <c r="F28" s="1">
        <v>100025</v>
      </c>
      <c r="G28" s="19" t="s">
        <v>151</v>
      </c>
      <c r="H28" s="1" t="s">
        <v>134</v>
      </c>
      <c r="I28" s="1"/>
      <c r="J28" s="1"/>
      <c r="K28" s="5" t="s">
        <v>33</v>
      </c>
      <c r="L28" s="8">
        <f t="shared" si="5"/>
        <v>4</v>
      </c>
      <c r="M28" s="8">
        <v>101</v>
      </c>
      <c r="N28" s="8">
        <v>5</v>
      </c>
      <c r="O28" s="6" t="str">
        <f t="shared" si="0"/>
        <v>4参101参5</v>
      </c>
      <c r="P28" s="5" t="str">
        <f t="shared" si="2"/>
        <v>4.拥有N个指定ID地块</v>
      </c>
      <c r="Q28" s="4">
        <v>4</v>
      </c>
      <c r="R28" s="4">
        <f t="shared" si="8"/>
        <v>103</v>
      </c>
      <c r="S28" s="4">
        <f t="shared" si="9"/>
        <v>3</v>
      </c>
      <c r="T28" s="6" t="str">
        <f t="shared" si="1"/>
        <v>4参103参3</v>
      </c>
      <c r="U28" s="14">
        <v>204</v>
      </c>
      <c r="V28" s="14" t="s">
        <v>62</v>
      </c>
      <c r="W28" s="15">
        <v>80004</v>
      </c>
      <c r="X28" s="8" t="s">
        <v>63</v>
      </c>
      <c r="Y28" s="6"/>
      <c r="Z28" s="6"/>
      <c r="AA28" s="9"/>
    </row>
    <row r="29" spans="1:27" ht="14.25">
      <c r="A29" s="1"/>
      <c r="B29" s="1">
        <v>100025</v>
      </c>
      <c r="C29" s="1" t="s">
        <v>67</v>
      </c>
      <c r="D29" s="1">
        <v>1</v>
      </c>
      <c r="E29" s="1">
        <v>1</v>
      </c>
      <c r="F29" s="1">
        <v>100026</v>
      </c>
      <c r="G29" s="19" t="s">
        <v>167</v>
      </c>
      <c r="H29" s="1" t="s">
        <v>135</v>
      </c>
      <c r="I29" s="1"/>
      <c r="J29" s="1"/>
      <c r="K29" s="5" t="s">
        <v>37</v>
      </c>
      <c r="L29" s="8">
        <f t="shared" si="5"/>
        <v>2</v>
      </c>
      <c r="M29" s="8">
        <v>101</v>
      </c>
      <c r="N29" s="8">
        <f>N22+1</f>
        <v>5</v>
      </c>
      <c r="O29" s="6" t="str">
        <f t="shared" si="0"/>
        <v>2参101参5</v>
      </c>
      <c r="P29" s="5" t="str">
        <f t="shared" si="2"/>
        <v>1.指定ID建筑到达N级</v>
      </c>
      <c r="Q29" s="2">
        <v>1</v>
      </c>
      <c r="R29" s="14">
        <v>203</v>
      </c>
      <c r="S29" s="14">
        <v>3</v>
      </c>
      <c r="T29" s="6" t="str">
        <f t="shared" si="1"/>
        <v>1参203参3</v>
      </c>
      <c r="U29" s="14">
        <v>205</v>
      </c>
      <c r="V29" s="14" t="s">
        <v>62</v>
      </c>
      <c r="W29" s="15">
        <v>80005</v>
      </c>
      <c r="X29" s="8" t="s">
        <v>63</v>
      </c>
      <c r="Y29" s="6"/>
      <c r="Z29" s="6"/>
      <c r="AA29" s="9"/>
    </row>
    <row r="30" spans="1:27" ht="14.25">
      <c r="A30" s="1"/>
      <c r="B30" s="1">
        <v>100026</v>
      </c>
      <c r="C30" s="1" t="s">
        <v>68</v>
      </c>
      <c r="D30" s="1">
        <v>1</v>
      </c>
      <c r="E30" s="1">
        <v>1</v>
      </c>
      <c r="F30" s="1">
        <v>100027</v>
      </c>
      <c r="G30" s="19" t="s">
        <v>152</v>
      </c>
      <c r="H30" s="1" t="s">
        <v>136</v>
      </c>
      <c r="I30" s="1"/>
      <c r="J30" s="1"/>
      <c r="K30" s="5" t="s">
        <v>39</v>
      </c>
      <c r="L30" s="8">
        <f t="shared" si="5"/>
        <v>5</v>
      </c>
      <c r="M30" s="8">
        <v>1</v>
      </c>
      <c r="N30" s="8">
        <f>N23+50</f>
        <v>200</v>
      </c>
      <c r="O30" s="6" t="str">
        <f t="shared" si="0"/>
        <v>5参1参200</v>
      </c>
      <c r="P30" s="5" t="str">
        <f t="shared" si="2"/>
        <v>4.拥有N个指定ID地块</v>
      </c>
      <c r="Q30" s="4">
        <v>4</v>
      </c>
      <c r="R30" s="4">
        <f t="shared" si="8"/>
        <v>103</v>
      </c>
      <c r="S30" s="4">
        <f t="shared" si="9"/>
        <v>4</v>
      </c>
      <c r="T30" s="6" t="str">
        <f t="shared" si="1"/>
        <v>4参103参4</v>
      </c>
      <c r="U30" s="14">
        <v>206</v>
      </c>
      <c r="V30" s="14" t="s">
        <v>62</v>
      </c>
      <c r="W30" s="15">
        <v>80006</v>
      </c>
      <c r="X30" s="8" t="s">
        <v>63</v>
      </c>
      <c r="Y30" s="6"/>
      <c r="Z30" s="6"/>
      <c r="AA30" s="9"/>
    </row>
    <row r="31" spans="1:27" ht="14.25">
      <c r="A31" s="1"/>
      <c r="B31" s="1">
        <v>100027</v>
      </c>
      <c r="C31" s="1" t="s">
        <v>69</v>
      </c>
      <c r="D31" s="1">
        <v>1</v>
      </c>
      <c r="E31" s="1">
        <v>1</v>
      </c>
      <c r="F31" s="1">
        <v>100028</v>
      </c>
      <c r="G31" s="19" t="s">
        <v>168</v>
      </c>
      <c r="H31" s="1" t="s">
        <v>137</v>
      </c>
      <c r="I31" s="1"/>
      <c r="J31" s="1"/>
      <c r="K31" s="5" t="s">
        <v>41</v>
      </c>
      <c r="L31" s="8">
        <f t="shared" si="5"/>
        <v>6</v>
      </c>
      <c r="M31" s="8">
        <v>1</v>
      </c>
      <c r="N31" s="8">
        <v>150</v>
      </c>
      <c r="O31" s="6" t="str">
        <f t="shared" si="0"/>
        <v>6参1参150</v>
      </c>
      <c r="P31" s="5" t="str">
        <f t="shared" si="2"/>
        <v>1.指定ID建筑到达N级</v>
      </c>
      <c r="Q31" s="2">
        <v>1</v>
      </c>
      <c r="R31" s="8">
        <v>10103</v>
      </c>
      <c r="S31" s="8">
        <v>3</v>
      </c>
      <c r="T31" s="6" t="str">
        <f t="shared" si="1"/>
        <v>1参10103参3</v>
      </c>
      <c r="U31" s="14">
        <v>207</v>
      </c>
      <c r="V31" s="14" t="s">
        <v>62</v>
      </c>
      <c r="W31" s="15">
        <v>80007</v>
      </c>
      <c r="X31" s="8" t="s">
        <v>63</v>
      </c>
      <c r="Y31" s="6"/>
      <c r="Z31" s="6"/>
      <c r="AA31" s="9"/>
    </row>
    <row r="32" spans="1:27" ht="14.25">
      <c r="A32" s="1"/>
      <c r="B32" s="1">
        <v>100028</v>
      </c>
      <c r="C32" s="1" t="s">
        <v>70</v>
      </c>
      <c r="D32" s="1">
        <v>1</v>
      </c>
      <c r="E32" s="1">
        <v>1</v>
      </c>
      <c r="F32" s="1">
        <v>100029</v>
      </c>
      <c r="G32" s="19" t="s">
        <v>153</v>
      </c>
      <c r="H32" s="1" t="s">
        <v>138</v>
      </c>
      <c r="I32" s="1"/>
      <c r="J32" s="1"/>
      <c r="K32" s="5" t="s">
        <v>43</v>
      </c>
      <c r="L32" s="8">
        <f t="shared" si="5"/>
        <v>7</v>
      </c>
      <c r="M32" s="8">
        <v>1</v>
      </c>
      <c r="N32" s="8">
        <v>3</v>
      </c>
      <c r="O32" s="6" t="str">
        <f t="shared" si="0"/>
        <v>7参1参3</v>
      </c>
      <c r="P32" s="5" t="str">
        <f t="shared" si="2"/>
        <v>4.拥有N个指定ID地块</v>
      </c>
      <c r="Q32" s="4">
        <v>4</v>
      </c>
      <c r="R32" s="4">
        <f>R30</f>
        <v>103</v>
      </c>
      <c r="S32" s="4">
        <f>S30+1</f>
        <v>5</v>
      </c>
      <c r="T32" s="6" t="str">
        <f t="shared" si="1"/>
        <v>4参103参5</v>
      </c>
      <c r="U32" s="14">
        <v>208</v>
      </c>
      <c r="V32" s="14" t="s">
        <v>62</v>
      </c>
      <c r="W32" s="15">
        <v>80008</v>
      </c>
      <c r="X32" s="8" t="s">
        <v>63</v>
      </c>
      <c r="Y32" s="6"/>
      <c r="Z32" s="6"/>
      <c r="AA32" s="9"/>
    </row>
    <row r="33" spans="1:27" ht="14.25">
      <c r="A33" s="1"/>
      <c r="B33" s="1">
        <v>100029</v>
      </c>
      <c r="C33" s="1" t="s">
        <v>71</v>
      </c>
      <c r="D33" s="1">
        <v>1</v>
      </c>
      <c r="E33" s="1">
        <v>1</v>
      </c>
      <c r="F33" s="1">
        <v>100030</v>
      </c>
      <c r="G33" s="19" t="s">
        <v>169</v>
      </c>
      <c r="H33" s="1" t="s">
        <v>139</v>
      </c>
      <c r="I33" s="1"/>
      <c r="J33" s="1"/>
      <c r="K33" s="5" t="s">
        <v>45</v>
      </c>
      <c r="L33" s="8">
        <f t="shared" si="5"/>
        <v>8</v>
      </c>
      <c r="M33" s="8">
        <v>1</v>
      </c>
      <c r="N33" s="8">
        <v>10</v>
      </c>
      <c r="O33" s="6" t="str">
        <f t="shared" si="0"/>
        <v>8参1参10</v>
      </c>
      <c r="P33" s="5" t="str">
        <f t="shared" si="2"/>
        <v>1.指定ID建筑到达N级</v>
      </c>
      <c r="Q33" s="2">
        <v>1</v>
      </c>
      <c r="R33" s="2">
        <v>4</v>
      </c>
      <c r="S33" s="2">
        <v>4</v>
      </c>
      <c r="T33" s="6" t="str">
        <f t="shared" si="1"/>
        <v>1参4参4</v>
      </c>
      <c r="U33" s="14">
        <v>209</v>
      </c>
      <c r="V33" s="14" t="s">
        <v>62</v>
      </c>
      <c r="W33" s="15">
        <v>80009</v>
      </c>
      <c r="X33" s="8" t="s">
        <v>63</v>
      </c>
      <c r="Y33" s="6"/>
      <c r="Z33" s="6"/>
      <c r="AA33" s="9"/>
    </row>
    <row r="34" spans="1:27" ht="14.25">
      <c r="A34" s="1"/>
      <c r="B34" s="1">
        <v>100030</v>
      </c>
      <c r="C34" s="1" t="s">
        <v>72</v>
      </c>
      <c r="D34" s="1">
        <v>1</v>
      </c>
      <c r="E34" s="1">
        <v>1</v>
      </c>
      <c r="F34" s="1"/>
      <c r="G34" s="19" t="s">
        <v>154</v>
      </c>
      <c r="H34" s="1" t="s">
        <v>115</v>
      </c>
      <c r="I34" s="1"/>
      <c r="J34" s="1"/>
      <c r="K34" s="5" t="s">
        <v>28</v>
      </c>
      <c r="L34" s="4">
        <f t="shared" si="5"/>
        <v>1</v>
      </c>
      <c r="M34" s="4">
        <v>1</v>
      </c>
      <c r="N34" s="4">
        <v>5</v>
      </c>
      <c r="O34" s="6" t="str">
        <f t="shared" si="0"/>
        <v>1参1参5</v>
      </c>
      <c r="P34" s="5" t="str">
        <f t="shared" si="2"/>
        <v>4.拥有N个指定ID地块</v>
      </c>
      <c r="Q34" s="4">
        <v>4</v>
      </c>
      <c r="R34" s="4">
        <f>R32</f>
        <v>103</v>
      </c>
      <c r="S34" s="4">
        <f>S32+1</f>
        <v>6</v>
      </c>
      <c r="T34" s="6" t="str">
        <f t="shared" si="1"/>
        <v>4参103参6</v>
      </c>
      <c r="U34" s="14">
        <v>210</v>
      </c>
      <c r="V34" s="14" t="s">
        <v>62</v>
      </c>
      <c r="W34" s="15">
        <v>80010</v>
      </c>
      <c r="X34" s="8" t="s">
        <v>63</v>
      </c>
      <c r="Y34" s="6"/>
      <c r="Z34" s="6"/>
      <c r="AA34" s="9"/>
    </row>
  </sheetData>
  <phoneticPr fontId="8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38" sqref="C38"/>
    </sheetView>
  </sheetViews>
  <sheetFormatPr defaultColWidth="9" defaultRowHeight="13.5"/>
  <sheetData>
    <row r="1" spans="1:3" ht="14.25">
      <c r="A1" s="1" t="s">
        <v>73</v>
      </c>
      <c r="B1" s="1" t="s">
        <v>74</v>
      </c>
      <c r="C1" s="1" t="s">
        <v>75</v>
      </c>
    </row>
    <row r="2" spans="1:3" ht="14.25">
      <c r="A2" s="1">
        <v>1</v>
      </c>
      <c r="B2" s="1" t="s">
        <v>76</v>
      </c>
      <c r="C2" s="1" t="s">
        <v>77</v>
      </c>
    </row>
    <row r="3" spans="1:3" ht="14.25">
      <c r="A3" s="1">
        <v>2</v>
      </c>
      <c r="B3" s="1" t="s">
        <v>78</v>
      </c>
      <c r="C3" s="1" t="s">
        <v>79</v>
      </c>
    </row>
    <row r="4" spans="1:3" ht="14.25">
      <c r="A4" s="1">
        <v>3</v>
      </c>
      <c r="B4" s="1" t="s">
        <v>80</v>
      </c>
      <c r="C4" s="1" t="s">
        <v>81</v>
      </c>
    </row>
    <row r="5" spans="1:3" ht="14.25">
      <c r="A5" s="1">
        <v>4</v>
      </c>
      <c r="B5" s="1" t="s">
        <v>82</v>
      </c>
      <c r="C5" s="1" t="s">
        <v>83</v>
      </c>
    </row>
    <row r="6" spans="1:3" ht="14.25">
      <c r="A6" s="1">
        <v>5</v>
      </c>
      <c r="B6" s="1" t="s">
        <v>84</v>
      </c>
      <c r="C6" s="1" t="s">
        <v>85</v>
      </c>
    </row>
    <row r="7" spans="1:3" ht="14.25">
      <c r="A7" s="1">
        <v>6</v>
      </c>
      <c r="B7" s="1" t="s">
        <v>86</v>
      </c>
      <c r="C7" s="1" t="s">
        <v>87</v>
      </c>
    </row>
    <row r="8" spans="1:3" ht="14.25">
      <c r="A8" s="1">
        <v>7</v>
      </c>
      <c r="B8" s="1" t="s">
        <v>88</v>
      </c>
      <c r="C8" s="1" t="s">
        <v>89</v>
      </c>
    </row>
    <row r="9" spans="1:3" ht="14.25">
      <c r="A9" s="1">
        <v>8</v>
      </c>
      <c r="B9" s="1" t="s">
        <v>90</v>
      </c>
      <c r="C9" s="1" t="s">
        <v>91</v>
      </c>
    </row>
    <row r="10" spans="1:3" ht="14.25">
      <c r="A10" s="1">
        <v>9</v>
      </c>
      <c r="B10" s="1" t="s">
        <v>92</v>
      </c>
      <c r="C10" s="1" t="s">
        <v>93</v>
      </c>
    </row>
    <row r="11" spans="1:3" ht="14.25">
      <c r="A11" s="1">
        <v>10</v>
      </c>
      <c r="B11" s="1" t="s">
        <v>94</v>
      </c>
      <c r="C11" s="1" t="s">
        <v>95</v>
      </c>
    </row>
    <row r="12" spans="1:3" ht="14.25">
      <c r="A12" s="1">
        <v>11</v>
      </c>
      <c r="B12" s="1" t="s">
        <v>96</v>
      </c>
      <c r="C12" s="1" t="s">
        <v>97</v>
      </c>
    </row>
    <row r="13" spans="1:3" ht="14.25">
      <c r="A13" s="1">
        <v>12</v>
      </c>
      <c r="B13" s="1" t="s">
        <v>98</v>
      </c>
      <c r="C13" s="1" t="s">
        <v>99</v>
      </c>
    </row>
    <row r="14" spans="1:3" ht="14.25">
      <c r="A14" s="1">
        <v>13</v>
      </c>
      <c r="B14" s="1" t="s">
        <v>100</v>
      </c>
      <c r="C14" s="1" t="s">
        <v>101</v>
      </c>
    </row>
    <row r="15" spans="1:3" ht="14.25">
      <c r="A15" s="1">
        <v>14</v>
      </c>
      <c r="B15" s="1" t="s">
        <v>102</v>
      </c>
      <c r="C15" s="1" t="s">
        <v>103</v>
      </c>
    </row>
    <row r="16" spans="1:3" ht="14.25">
      <c r="A16" s="1">
        <v>15</v>
      </c>
      <c r="B16" s="1" t="s">
        <v>104</v>
      </c>
      <c r="C16" s="1" t="s">
        <v>105</v>
      </c>
    </row>
    <row r="17" spans="1:3" ht="14.25">
      <c r="A17" s="1">
        <v>16</v>
      </c>
      <c r="B17" s="1" t="s">
        <v>106</v>
      </c>
      <c r="C17" s="1" t="s">
        <v>107</v>
      </c>
    </row>
    <row r="18" spans="1:3" ht="14.25">
      <c r="A18" s="1">
        <v>17</v>
      </c>
      <c r="B18" s="1" t="s">
        <v>108</v>
      </c>
      <c r="C18" s="1" t="s">
        <v>109</v>
      </c>
    </row>
    <row r="19" spans="1:3" ht="14.25">
      <c r="A19" s="1">
        <v>18</v>
      </c>
      <c r="B19" s="1" t="s">
        <v>110</v>
      </c>
      <c r="C19" s="1" t="s">
        <v>111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条件类型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志飞 林</cp:lastModifiedBy>
  <dcterms:created xsi:type="dcterms:W3CDTF">2025-09-30T02:22:16Z</dcterms:created>
  <dcterms:modified xsi:type="dcterms:W3CDTF">2025-11-05T03:23:32Z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2119EC0249944F02BB838EEAA3B8AB21_11</vt:lpwstr>
  </property>
  <property fmtid="{D5CDD505-2E9C-101B-9397-08002B2CF9AE}" pid="3" name="KSOProductBuildVer">
    <vt:lpwstr>2052-12.1.0.22529</vt:lpwstr>
  </property>
</Properties>
</file>