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Sheet1" sheetId="1" r:id="rId1"/>
    <sheet name="辅助"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F2" authorId="0">
      <text>
        <r>
          <rPr>
            <sz val="9"/>
            <rFont val="宋体"/>
            <charset val="134"/>
          </rPr>
          <t>1 核心类
2 供给类
3 产出类
4 服务类
5 体验类
6 公众桥
7 员工桥</t>
        </r>
      </text>
    </comment>
    <comment ref="G2" authorId="0">
      <text>
        <r>
          <rPr>
            <sz val="9"/>
            <rFont val="宋体"/>
            <charset val="134"/>
          </rPr>
          <t xml:space="preserve">1 游客中心
2 航站楼
3 工程署
4 人才市场
5 油田
6 炼油厂
7 发电站
8 农田
9 伐木场
10 采石场
11 畜牧场
12 夜市轻食摊
13 森林茶屋
14 石窑披萨坊
15 手冲咖啡站
16 海风果汁吧
17 浮桥海鲜档
18 悬挑天境台
19 林梢环形秋千
20 岩顶观景台
21 解谜小屋
22 森林绳索乐园
23 星空露天影院
24 玻璃底观景舱
25 海风音乐露台
</t>
        </r>
      </text>
    </comment>
    <comment ref="H2" authorId="0">
      <text>
        <r>
          <rPr>
            <b/>
            <sz val="9"/>
            <rFont val="宋体"/>
            <charset val="134"/>
          </rPr>
          <t>Administrator:</t>
        </r>
        <r>
          <rPr>
            <sz val="9"/>
            <rFont val="宋体"/>
            <charset val="134"/>
          </rPr>
          <t xml:space="preserve">
1 美食
2 观景
3 冒险
4 休闲
5 娱乐
6 社交
7 文化</t>
        </r>
      </text>
    </comment>
    <comment ref="I2" authorId="0">
      <text>
        <r>
          <rPr>
            <sz val="9"/>
            <rFont val="宋体"/>
            <charset val="134"/>
          </rPr>
          <t xml:space="preserve">建筑提供的繁荣度
</t>
        </r>
      </text>
    </comment>
    <comment ref="J2" authorId="0">
      <text>
        <r>
          <rPr>
            <sz val="9"/>
            <rFont val="宋体"/>
            <charset val="134"/>
          </rPr>
          <t>1：枢纽
2：产出食物
3：产出银币
4：产出金币
5：产出燃油
800：航站楼
998：提供魅力型
999：建筑工人之家</t>
        </r>
      </text>
    </comment>
    <comment ref="K2" authorId="0">
      <text>
        <r>
          <rPr>
            <sz val="12"/>
            <rFont val="微软雅黑"/>
            <charset val="134"/>
          </rPr>
          <t xml:space="preserve">填岛屿类型
</t>
        </r>
      </text>
    </comment>
    <comment ref="L2" authorId="0">
      <text>
        <r>
          <rPr>
            <sz val="9"/>
            <rFont val="宋体"/>
            <charset val="134"/>
          </rPr>
          <t>读取item表id字段</t>
        </r>
      </text>
    </comment>
    <comment ref="N2" authorId="0">
      <text>
        <r>
          <rPr>
            <sz val="9"/>
            <rFont val="宋体"/>
            <charset val="134"/>
          </rPr>
          <t xml:space="preserve">-1表示不接待游客
</t>
        </r>
      </text>
    </comment>
    <comment ref="O2" authorId="0">
      <text>
        <r>
          <rPr>
            <b/>
            <sz val="9"/>
            <rFont val="宋体"/>
            <charset val="134"/>
          </rPr>
          <t>Administrator:</t>
        </r>
        <r>
          <rPr>
            <sz val="9"/>
            <rFont val="宋体"/>
            <charset val="134"/>
          </rPr>
          <t xml:space="preserve">
-1为无停留时间
</t>
        </r>
      </text>
    </comment>
    <comment ref="P2" authorId="0">
      <text>
        <r>
          <rPr>
            <sz val="9"/>
            <rFont val="宋体"/>
            <charset val="134"/>
          </rPr>
          <t>产出后的会先进入原建筑储存，再点击一次才会进入对应的仓库</t>
        </r>
      </text>
    </comment>
    <comment ref="Q2" authorId="0">
      <text>
        <r>
          <rPr>
            <sz val="9"/>
            <rFont val="宋体"/>
            <charset val="134"/>
          </rPr>
          <t xml:space="preserve">产生物品需要消耗的资源及数量。供给类和服务类的产出消耗都在这里读取
</t>
        </r>
      </text>
    </comment>
    <comment ref="U2" authorId="0">
      <text>
        <r>
          <rPr>
            <sz val="9"/>
            <rFont val="宋体"/>
            <charset val="134"/>
          </rPr>
          <t>含义：蒸汽压力可以调配到的最大值</t>
        </r>
      </text>
    </comment>
    <comment ref="W2" authorId="0">
      <text>
        <r>
          <rPr>
            <b/>
            <sz val="9"/>
            <rFont val="宋体"/>
            <charset val="134"/>
          </rPr>
          <t>Administrator:</t>
        </r>
        <r>
          <rPr>
            <sz val="9"/>
            <rFont val="宋体"/>
            <charset val="134"/>
          </rPr>
          <t xml:space="preserve">
1 东北
2 东南
3 西南
4 西北</t>
        </r>
      </text>
    </comment>
    <comment ref="X2" authorId="0">
      <text>
        <r>
          <rPr>
            <b/>
            <sz val="9"/>
            <rFont val="宋体"/>
            <charset val="134"/>
          </rPr>
          <t xml:space="preserve">条件类型：配置数据为且的关系
</t>
        </r>
        <r>
          <rPr>
            <sz val="9"/>
            <rFont val="宋体"/>
            <charset val="134"/>
          </rPr>
          <t>空：无条件
1：某个建筑小类等级达到%d
2：目标建筑建造N个：格式：建筑ID|场景中建造且摆放的个数</t>
        </r>
      </text>
    </comment>
    <comment ref="AB2" authorId="0">
      <text>
        <r>
          <rPr>
            <sz val="9"/>
            <rFont val="宋体"/>
            <charset val="134"/>
          </rPr>
          <t xml:space="preserve">1：可存放
</t>
        </r>
      </text>
    </comment>
    <comment ref="AD2" authorId="0">
      <text>
        <r>
          <rPr>
            <b/>
            <sz val="9"/>
            <rFont val="宋体"/>
            <charset val="134"/>
          </rPr>
          <t>Administrator:</t>
        </r>
        <r>
          <rPr>
            <sz val="9"/>
            <rFont val="宋体"/>
            <charset val="134"/>
          </rPr>
          <t xml:space="preserve">
服务类商品价格、体验类的门票价格
</t>
        </r>
      </text>
    </comment>
  </commentList>
</comments>
</file>

<file path=xl/sharedStrings.xml><?xml version="1.0" encoding="utf-8"?>
<sst xmlns="http://schemas.openxmlformats.org/spreadsheetml/2006/main" count="2194" uniqueCount="403">
  <si>
    <t>##var</t>
  </si>
  <si>
    <t>Id</t>
  </si>
  <si>
    <t>Name</t>
  </si>
  <si>
    <t>BuildMsg</t>
  </si>
  <si>
    <t>BuildLevel</t>
  </si>
  <si>
    <t>BuildingType</t>
  </si>
  <si>
    <t>BuildingSubtype</t>
  </si>
  <si>
    <t>BuildingTag</t>
  </si>
  <si>
    <t>Prosperity</t>
  </si>
  <si>
    <t>PowerConsumption</t>
  </si>
  <si>
    <t>IslandAffinity</t>
  </si>
  <si>
    <t>JobSlots</t>
  </si>
  <si>
    <t>DemandOccupation</t>
  </si>
  <si>
    <t>VisitorCapacity</t>
  </si>
  <si>
    <t>DwellTime</t>
  </si>
  <si>
    <t>OutPut</t>
  </si>
  <si>
    <t>ItemCost</t>
  </si>
  <si>
    <t>OutputStorage</t>
  </si>
  <si>
    <t>OutputCycle</t>
  </si>
  <si>
    <t>IconId</t>
  </si>
  <si>
    <t>Anchor</t>
  </si>
  <si>
    <t>Model</t>
  </si>
  <si>
    <t>Orientation</t>
  </si>
  <si>
    <t>UpCondition</t>
  </si>
  <si>
    <t>UpCost</t>
  </si>
  <si>
    <t>BuildTime</t>
  </si>
  <si>
    <t>StarterShape</t>
  </si>
  <si>
    <t>Storable</t>
  </si>
  <si>
    <t>Attraction</t>
  </si>
  <si>
    <t>RefPrice</t>
  </si>
  <si>
    <t>##</t>
  </si>
  <si>
    <t>地块id</t>
  </si>
  <si>
    <t>建筑名字</t>
  </si>
  <si>
    <t>建筑信息</t>
  </si>
  <si>
    <t>建筑等级</t>
  </si>
  <si>
    <t>建筑大类</t>
  </si>
  <si>
    <t>建筑小类</t>
  </si>
  <si>
    <t>建筑标签</t>
  </si>
  <si>
    <t>繁荣度</t>
  </si>
  <si>
    <t>耗电量</t>
  </si>
  <si>
    <t>岛屿亲和</t>
  </si>
  <si>
    <t>岗位数量</t>
  </si>
  <si>
    <t>需求职业</t>
  </si>
  <si>
    <t>游客承载数量</t>
  </si>
  <si>
    <t>停留时间</t>
  </si>
  <si>
    <t>产出</t>
  </si>
  <si>
    <t>产出消耗</t>
  </si>
  <si>
    <t>产出储存量</t>
  </si>
  <si>
    <t>产出周期</t>
  </si>
  <si>
    <t>建筑外观</t>
  </si>
  <si>
    <t>图片锚点</t>
  </si>
  <si>
    <t>3D模型资源</t>
  </si>
  <si>
    <t>模型朝向</t>
  </si>
  <si>
    <t>升级条件</t>
  </si>
  <si>
    <t>建造消耗</t>
  </si>
  <si>
    <t>建造时间</t>
  </si>
  <si>
    <t>初始方向&amp;形状</t>
  </si>
  <si>
    <t>可否存放</t>
  </si>
  <si>
    <t>基础吸引力</t>
  </si>
  <si>
    <t>参考价</t>
  </si>
  <si>
    <t>##group</t>
  </si>
  <si>
    <t>c,s</t>
  </si>
  <si>
    <t>c</t>
  </si>
  <si>
    <t>##type</t>
  </si>
  <si>
    <t>int</t>
  </si>
  <si>
    <t>string</t>
  </si>
  <si>
    <t>zsEnum.BuildingType</t>
  </si>
  <si>
    <t>zsEnum.BuildingSubtype</t>
  </si>
  <si>
    <t>(list#sep=;),zsEnum.PreferenceTag</t>
  </si>
  <si>
    <r>
      <rPr>
        <sz val="11"/>
        <color theme="1"/>
        <rFont val="微软雅黑"/>
        <charset val="134"/>
      </rPr>
      <t>(</t>
    </r>
    <r>
      <rPr>
        <sz val="11"/>
        <color theme="1"/>
        <rFont val="微软雅黑"/>
        <charset val="134"/>
      </rPr>
      <t>l</t>
    </r>
    <r>
      <rPr>
        <sz val="11"/>
        <color theme="1"/>
        <rFont val="微软雅黑"/>
        <charset val="134"/>
      </rPr>
      <t>ist#sep=|),</t>
    </r>
    <r>
      <rPr>
        <sz val="11"/>
        <color theme="1"/>
        <rFont val="微软雅黑"/>
        <charset val="134"/>
      </rPr>
      <t>zsEnum.IslandType</t>
    </r>
  </si>
  <si>
    <t>zsEnum.Profession</t>
  </si>
  <si>
    <t>(list#sep=|),(list#sep=;),int</t>
  </si>
  <si>
    <t>(list#sep=|),float</t>
  </si>
  <si>
    <t>zsEnum.Orientation</t>
  </si>
  <si>
    <t>bool</t>
  </si>
  <si>
    <t>游客中心</t>
  </si>
  <si>
    <t>Concept_ykzhongxin_01</t>
  </si>
  <si>
    <t>0.505|0.924</t>
  </si>
  <si>
    <t>20001;143|20002;88</t>
  </si>
  <si>
    <t>0;0|0;-1|-1;-1|-1;0|0;-2|-1;-2|-2;-2|-2;-1|-2;0</t>
  </si>
  <si>
    <t>20001;526|20002;323</t>
  </si>
  <si>
    <t>20001;1909|20002;1171</t>
  </si>
  <si>
    <t>20001;3867|20002;2372</t>
  </si>
  <si>
    <t>20001;6935|20002;4252</t>
  </si>
  <si>
    <t>20001;12965|20002;7943</t>
  </si>
  <si>
    <t>20001;19283|20002;11812</t>
  </si>
  <si>
    <t>20001;27063|20002;16579</t>
  </si>
  <si>
    <t>20001;41058|20002;25139</t>
  </si>
  <si>
    <t>20001;54259|20002;33216</t>
  </si>
  <si>
    <t>航站楼</t>
  </si>
  <si>
    <t>Concept_hangzhan_01</t>
  </si>
  <si>
    <t>0.512|0.93</t>
  </si>
  <si>
    <t>1;1</t>
  </si>
  <si>
    <t>20001;71|20002;44</t>
  </si>
  <si>
    <t>20001;263|20002;162</t>
  </si>
  <si>
    <t>20001;954|20002;585</t>
  </si>
  <si>
    <t>20001;1934|20002;1186</t>
  </si>
  <si>
    <t>20001;3468|20002;2126</t>
  </si>
  <si>
    <t>20001;6482|20002;3972</t>
  </si>
  <si>
    <t>20001;9641|20002;5906</t>
  </si>
  <si>
    <t>20001;13532|20002;8289</t>
  </si>
  <si>
    <t>20001;20529|20002;12569</t>
  </si>
  <si>
    <t>20001;27129|20002;16608</t>
  </si>
  <si>
    <t>工程署</t>
  </si>
  <si>
    <t>Concept_gongcheng_01</t>
  </si>
  <si>
    <t>0.498|0.928</t>
  </si>
  <si>
    <t>20001;57|20002;35</t>
  </si>
  <si>
    <t>20001;210|20002;129</t>
  </si>
  <si>
    <t>20001;763|20002;468</t>
  </si>
  <si>
    <t>20001;1547|20002;949</t>
  </si>
  <si>
    <t>20001;2774|20002;1701</t>
  </si>
  <si>
    <t>20001;5186|20002;3177</t>
  </si>
  <si>
    <t>20001;7713|20002;4725</t>
  </si>
  <si>
    <t>20001;10825|20002;6632</t>
  </si>
  <si>
    <t>20001;16423|20002;10056</t>
  </si>
  <si>
    <t>20001;21703|20002;13286</t>
  </si>
  <si>
    <t>人才市场</t>
  </si>
  <si>
    <t>Concept_renchai_01</t>
  </si>
  <si>
    <t>0.505|0.926</t>
  </si>
  <si>
    <t>油田</t>
  </si>
  <si>
    <t>1|2</t>
  </si>
  <si>
    <t>50001;30</t>
  </si>
  <si>
    <t>Concept_youtian_01</t>
  </si>
  <si>
    <t>0.498|0.791</t>
  </si>
  <si>
    <t>20001;14|20002;9</t>
  </si>
  <si>
    <t>0;0</t>
  </si>
  <si>
    <t>50001;36</t>
  </si>
  <si>
    <t>20001;53|20002;32</t>
  </si>
  <si>
    <t>50001;42</t>
  </si>
  <si>
    <t>20001;191|20002;117</t>
  </si>
  <si>
    <t>50001;48</t>
  </si>
  <si>
    <t>20001;387|20002;237</t>
  </si>
  <si>
    <t>50001;54</t>
  </si>
  <si>
    <t>20001;694|20002;425</t>
  </si>
  <si>
    <t>50001;60</t>
  </si>
  <si>
    <t>20001;1296|20002;794</t>
  </si>
  <si>
    <t>50001;66</t>
  </si>
  <si>
    <t>20001;1928|20002;1181</t>
  </si>
  <si>
    <t>50001;72</t>
  </si>
  <si>
    <t>20001;2706|20002;1658</t>
  </si>
  <si>
    <t>50001;78</t>
  </si>
  <si>
    <t>20001;4106|20002;2514</t>
  </si>
  <si>
    <t>50001;84</t>
  </si>
  <si>
    <t>20001;5426|20002;3322</t>
  </si>
  <si>
    <t>炼油厂</t>
  </si>
  <si>
    <t>50002;20</t>
  </si>
  <si>
    <t>50001;20</t>
  </si>
  <si>
    <t>Concept_lianyou_01</t>
  </si>
  <si>
    <t>0.503|0.905</t>
  </si>
  <si>
    <t>20001;21|20002;13</t>
  </si>
  <si>
    <t>0;0|0;-1|-1;-1|-1;0</t>
  </si>
  <si>
    <t>50002;24</t>
  </si>
  <si>
    <t>50001;24</t>
  </si>
  <si>
    <t>20001;79|20002;48</t>
  </si>
  <si>
    <t>50002;25</t>
  </si>
  <si>
    <t>50001;25</t>
  </si>
  <si>
    <t>20001;286|20002;176</t>
  </si>
  <si>
    <t>50002;29</t>
  </si>
  <si>
    <t>50001;29</t>
  </si>
  <si>
    <t>20001;580|20002;356</t>
  </si>
  <si>
    <t>50002;36</t>
  </si>
  <si>
    <t>20001;1040|20002;638</t>
  </si>
  <si>
    <t>50002;38</t>
  </si>
  <si>
    <t>50001;38</t>
  </si>
  <si>
    <t>20001;1945|20002;1191</t>
  </si>
  <si>
    <t>50002;41</t>
  </si>
  <si>
    <t>50001;41</t>
  </si>
  <si>
    <t>20001;2892|20002;1772</t>
  </si>
  <si>
    <t>50002;48</t>
  </si>
  <si>
    <t>20001;4059|20002;2487</t>
  </si>
  <si>
    <t>50002;50</t>
  </si>
  <si>
    <t>50001;50</t>
  </si>
  <si>
    <t>20001;6159|20002;3771</t>
  </si>
  <si>
    <t>50002;53</t>
  </si>
  <si>
    <t>50001;53</t>
  </si>
  <si>
    <t>20001;8139|20002;4982</t>
  </si>
  <si>
    <t>发电站</t>
  </si>
  <si>
    <t>50003;100</t>
  </si>
  <si>
    <t>50002;16</t>
  </si>
  <si>
    <t>Concept_biandian_01</t>
  </si>
  <si>
    <t>0.504|0.888</t>
  </si>
  <si>
    <t>50003;120</t>
  </si>
  <si>
    <t>50002;19</t>
  </si>
  <si>
    <t>50003;125</t>
  </si>
  <si>
    <t>50003;145</t>
  </si>
  <si>
    <t>50002;23</t>
  </si>
  <si>
    <t>50003;180</t>
  </si>
  <si>
    <t>50003;190</t>
  </si>
  <si>
    <t>50002;30</t>
  </si>
  <si>
    <t>50003;205</t>
  </si>
  <si>
    <t>50002;33</t>
  </si>
  <si>
    <t>50003;240</t>
  </si>
  <si>
    <t>50003;250</t>
  </si>
  <si>
    <t>50002;40</t>
  </si>
  <si>
    <t>50003;265</t>
  </si>
  <si>
    <t>50002;42</t>
  </si>
  <si>
    <t>农田</t>
  </si>
  <si>
    <t>30001;88|30002;44|30003;18</t>
  </si>
  <si>
    <t>Concept_nongtian_01</t>
  </si>
  <si>
    <t>0.499|0.794</t>
  </si>
  <si>
    <t>30001;112|30002;56|30003;23</t>
  </si>
  <si>
    <t>30001;135|30002;68|30003;28</t>
  </si>
  <si>
    <t>30001;159|30002;79|30003;32</t>
  </si>
  <si>
    <t>30001;182|30002;91|30003;37</t>
  </si>
  <si>
    <t>30001;206|30002;103|30003;42</t>
  </si>
  <si>
    <t>30001;229|30002;115|30003;47</t>
  </si>
  <si>
    <t>30001;253|30002;126|30003;51</t>
  </si>
  <si>
    <t>30001;276|30002;138|30003;56</t>
  </si>
  <si>
    <t>30001;300|30002;150|30003;61</t>
  </si>
  <si>
    <t>伐木场</t>
  </si>
  <si>
    <t>20001;150</t>
  </si>
  <si>
    <t>Concept_famu_01</t>
  </si>
  <si>
    <t>0.505|0.892</t>
  </si>
  <si>
    <t>20001;180</t>
  </si>
  <si>
    <t>20001;210</t>
  </si>
  <si>
    <t>20001;240</t>
  </si>
  <si>
    <t>20001;270</t>
  </si>
  <si>
    <t>20001;300</t>
  </si>
  <si>
    <t>20001;330</t>
  </si>
  <si>
    <t>20001;360</t>
  </si>
  <si>
    <t>20001;390</t>
  </si>
  <si>
    <t>20001;420</t>
  </si>
  <si>
    <t>采石场</t>
  </si>
  <si>
    <t>20002;90</t>
  </si>
  <si>
    <t>Concept_caishi_01</t>
  </si>
  <si>
    <t>0.488|0.896</t>
  </si>
  <si>
    <t>20002;108</t>
  </si>
  <si>
    <t>20002;126</t>
  </si>
  <si>
    <t>20002;144</t>
  </si>
  <si>
    <t>20002;162</t>
  </si>
  <si>
    <t>20002;180</t>
  </si>
  <si>
    <t>20002;198</t>
  </si>
  <si>
    <t>20002;216</t>
  </si>
  <si>
    <t>20002;234</t>
  </si>
  <si>
    <t>20002;252</t>
  </si>
  <si>
    <t>畜牧场</t>
  </si>
  <si>
    <t>30004;94|30005;80</t>
  </si>
  <si>
    <t>Concept_sky_xumu_01</t>
  </si>
  <si>
    <t>0.523|0.877</t>
  </si>
  <si>
    <t>30004;119|30005;102</t>
  </si>
  <si>
    <t>30004;145|30005;123</t>
  </si>
  <si>
    <t>30004;170|30005;145</t>
  </si>
  <si>
    <t>30004;195|30005;166</t>
  </si>
  <si>
    <t>30004;221|30005;188</t>
  </si>
  <si>
    <t>30004;246|30005;209</t>
  </si>
  <si>
    <t>30004;271|30005;231</t>
  </si>
  <si>
    <t>30004;297|30005;252</t>
  </si>
  <si>
    <t>30004;322|30005;274</t>
  </si>
  <si>
    <t>夜市轻食摊</t>
  </si>
  <si>
    <t>1;6;4</t>
  </si>
  <si>
    <t>31001;1</t>
  </si>
  <si>
    <t>30001;4|30004;10|30005;10</t>
  </si>
  <si>
    <t>Concept_lightfoodstall_01</t>
  </si>
  <si>
    <t>0.519|0.9</t>
  </si>
  <si>
    <t>20001;18|20002;11</t>
  </si>
  <si>
    <t>20001;66|20002;40</t>
  </si>
  <si>
    <t>20001;239|20002;146</t>
  </si>
  <si>
    <t>20001;483|20002;296</t>
  </si>
  <si>
    <t>20001;867|20002;532</t>
  </si>
  <si>
    <t>20001;1621|20002;993</t>
  </si>
  <si>
    <t>20001;2410|20002;1476</t>
  </si>
  <si>
    <t>20001;3383|20002;2072</t>
  </si>
  <si>
    <t>20001;5132|20002;3142</t>
  </si>
  <si>
    <t>20001;6782|20002;4152</t>
  </si>
  <si>
    <t>森林茶屋</t>
  </si>
  <si>
    <t>1;4</t>
  </si>
  <si>
    <t>31002;1</t>
  </si>
  <si>
    <t>30002;3|30003;1</t>
  </si>
  <si>
    <t>Concept_teahouse_01</t>
  </si>
  <si>
    <t>0.504|0.872</t>
  </si>
  <si>
    <t>石窑披萨坊</t>
  </si>
  <si>
    <t>1;7</t>
  </si>
  <si>
    <t>31003;1</t>
  </si>
  <si>
    <t>30001;10|30004;10|30005;10</t>
  </si>
  <si>
    <t>Concept_pizzahouse_01</t>
  </si>
  <si>
    <t>0.507|0.915</t>
  </si>
  <si>
    <t>手冲咖啡站</t>
  </si>
  <si>
    <t>31004;1</t>
  </si>
  <si>
    <t>30002;2|30003;1|30005;2</t>
  </si>
  <si>
    <t>Concept_handbrewcafe_01</t>
  </si>
  <si>
    <t>0.509|0.894</t>
  </si>
  <si>
    <t>海风果汁吧</t>
  </si>
  <si>
    <t>31005;1</t>
  </si>
  <si>
    <t>30001;3|30002;3</t>
  </si>
  <si>
    <t>Concept_seabreezejuicebar_01</t>
  </si>
  <si>
    <t>0.503|0.909</t>
  </si>
  <si>
    <t>浮桥海鲜档</t>
  </si>
  <si>
    <t>1;6</t>
  </si>
  <si>
    <t>31006;1</t>
  </si>
  <si>
    <t>30001;40|30003;10|30004;40</t>
  </si>
  <si>
    <t>Concept_seafoodstall_01</t>
  </si>
  <si>
    <t>0.51|0.906</t>
  </si>
  <si>
    <t>悬挑天境台</t>
  </si>
  <si>
    <t>2;7</t>
  </si>
  <si>
    <t>Concept_skymirrorterrace_01</t>
  </si>
  <si>
    <t>0.5|0.91</t>
  </si>
  <si>
    <t>20001;43|20002;26</t>
  </si>
  <si>
    <t>20001;158|20002;97</t>
  </si>
  <si>
    <t>20001;573|20002;351</t>
  </si>
  <si>
    <t>20001;1160|20002;711</t>
  </si>
  <si>
    <t>20001;2081|20002;1276</t>
  </si>
  <si>
    <t>20001;3889|20002;2383</t>
  </si>
  <si>
    <t>20001;5785|20002;3543</t>
  </si>
  <si>
    <t>20001;8119|20002;4974</t>
  </si>
  <si>
    <t>20001;12318|20002;7542</t>
  </si>
  <si>
    <t>20001;16278|20002;9965</t>
  </si>
  <si>
    <t>林梢环形秋千</t>
  </si>
  <si>
    <t>3;2</t>
  </si>
  <si>
    <t>Concept_amusementpark_01</t>
  </si>
  <si>
    <t>0.509|0.884</t>
  </si>
  <si>
    <t>岩顶观景台</t>
  </si>
  <si>
    <t>Concept_viewdeck_01</t>
  </si>
  <si>
    <t>0.5|0.905</t>
  </si>
  <si>
    <t>解谜小屋</t>
  </si>
  <si>
    <t>3;7</t>
  </si>
  <si>
    <t>Concept_deciphercabin_01</t>
  </si>
  <si>
    <t>0.509|0.903</t>
  </si>
  <si>
    <t>森林绳索乐园</t>
  </si>
  <si>
    <t>Concept_ropepark_01</t>
  </si>
  <si>
    <t>0.505|0.914</t>
  </si>
  <si>
    <t>星空露天影院</t>
  </si>
  <si>
    <t>5;7;6</t>
  </si>
  <si>
    <t>Concept_starrycinema_01</t>
  </si>
  <si>
    <t>0.512|0.91</t>
  </si>
  <si>
    <t>玻璃底观景舱</t>
  </si>
  <si>
    <t>Concept_glassviewpod_01</t>
  </si>
  <si>
    <t>0.509|0.923</t>
  </si>
  <si>
    <t>海风音乐露台</t>
  </si>
  <si>
    <t>5;6;4</t>
  </si>
  <si>
    <t>Concept_haifeng_01</t>
  </si>
  <si>
    <t>0.495|0.9</t>
  </si>
  <si>
    <t>普通员工桥</t>
  </si>
  <si>
    <t>Concept_bridge_01</t>
  </si>
  <si>
    <t>0.526|0.747</t>
  </si>
  <si>
    <t>20001;2|20002;1</t>
  </si>
  <si>
    <t>20001;8|20002;5</t>
  </si>
  <si>
    <t>20001;29|20002;18</t>
  </si>
  <si>
    <t>20001;58|20002;36</t>
  </si>
  <si>
    <t>20001;104|20002;64</t>
  </si>
  <si>
    <t>20001;194|20002;119</t>
  </si>
  <si>
    <t>20001;289|20002;177</t>
  </si>
  <si>
    <t>20001;406|20002;249</t>
  </si>
  <si>
    <t>20001;616|20002;377</t>
  </si>
  <si>
    <t>20001;814|20002;498</t>
  </si>
  <si>
    <t>普通游客桥</t>
  </si>
  <si>
    <t>等级Lv</t>
  </si>
  <si>
    <t>采石场石材</t>
  </si>
  <si>
    <t>伐木场木材</t>
  </si>
  <si>
    <t>农田粮食</t>
  </si>
  <si>
    <t>农田水果</t>
  </si>
  <si>
    <t>农田香料</t>
  </si>
  <si>
    <t>畜牧场肉类</t>
  </si>
  <si>
    <t>畜牧场蛋类</t>
  </si>
  <si>
    <t>油田原油</t>
  </si>
  <si>
    <t>木材</t>
  </si>
  <si>
    <t>小吃</t>
  </si>
  <si>
    <t>5：粮食×3、肉类×2、香料×1、木材×1</t>
  </si>
  <si>
    <t>石材</t>
  </si>
  <si>
    <t>茶点</t>
  </si>
  <si>
    <t>4：粮食×2、香料×1、木材×1</t>
  </si>
  <si>
    <t>原油</t>
  </si>
  <si>
    <t>披萨</t>
  </si>
  <si>
    <r>
      <rPr>
        <sz val="11"/>
        <color theme="1"/>
        <rFont val="宋体"/>
        <charset val="134"/>
        <scheme val="minor"/>
      </rPr>
      <t>4：粮食×</t>
    </r>
    <r>
      <rPr>
        <sz val="11"/>
        <color theme="1"/>
        <rFont val="宋体"/>
        <charset val="134"/>
        <scheme val="minor"/>
      </rPr>
      <t>4</t>
    </r>
    <r>
      <rPr>
        <sz val="11"/>
        <color theme="1"/>
        <rFont val="宋体"/>
        <charset val="134"/>
        <scheme val="minor"/>
      </rPr>
      <t>、肉类×</t>
    </r>
    <r>
      <rPr>
        <sz val="11"/>
        <color theme="1"/>
        <rFont val="宋体"/>
        <charset val="134"/>
        <scheme val="minor"/>
      </rPr>
      <t>2</t>
    </r>
    <r>
      <rPr>
        <sz val="11"/>
        <color theme="1"/>
        <rFont val="宋体"/>
        <charset val="134"/>
        <scheme val="minor"/>
      </rPr>
      <t>、香料×</t>
    </r>
    <r>
      <rPr>
        <sz val="11"/>
        <color theme="1"/>
        <rFont val="宋体"/>
        <charset val="134"/>
        <scheme val="minor"/>
      </rPr>
      <t>1</t>
    </r>
    <r>
      <rPr>
        <sz val="11"/>
        <color theme="1"/>
        <rFont val="宋体"/>
        <charset val="134"/>
        <scheme val="minor"/>
      </rPr>
      <t>、木材×</t>
    </r>
    <r>
      <rPr>
        <sz val="11"/>
        <color theme="1"/>
        <rFont val="宋体"/>
        <charset val="134"/>
        <scheme val="minor"/>
      </rPr>
      <t>2</t>
    </r>
  </si>
  <si>
    <t>燃油</t>
  </si>
  <si>
    <t>咖啡</t>
  </si>
  <si>
    <t>4：粮食×1、香料×1、木材×1</t>
  </si>
  <si>
    <t>粮食</t>
  </si>
  <si>
    <t>果汁</t>
  </si>
  <si>
    <t>4：水果×3、香料×1、木材×1</t>
  </si>
  <si>
    <t>水果</t>
  </si>
  <si>
    <t>海鲜拼盘</t>
  </si>
  <si>
    <t>4：肉类×3、香料×1、石材×1、木材×1</t>
  </si>
  <si>
    <t>香料</t>
  </si>
  <si>
    <t>肉</t>
  </si>
  <si>
    <t>蛋</t>
  </si>
  <si>
    <r>
      <rPr>
        <sz val="11"/>
        <color theme="1"/>
        <rFont val="宋体"/>
        <charset val="134"/>
        <scheme val="minor"/>
      </rPr>
      <t>3</t>
    </r>
    <r>
      <rPr>
        <sz val="11"/>
        <color theme="1"/>
        <rFont val="宋体"/>
        <charset val="134"/>
        <scheme val="minor"/>
      </rPr>
      <t>1001;5</t>
    </r>
  </si>
  <si>
    <r>
      <rPr>
        <sz val="11"/>
        <color theme="1"/>
        <rFont val="宋体"/>
        <charset val="134"/>
        <scheme val="minor"/>
      </rPr>
      <t>3</t>
    </r>
    <r>
      <rPr>
        <sz val="11"/>
        <color theme="1"/>
        <rFont val="宋体"/>
        <charset val="134"/>
        <scheme val="minor"/>
      </rPr>
      <t>1002;4</t>
    </r>
  </si>
  <si>
    <t>电</t>
  </si>
  <si>
    <r>
      <rPr>
        <sz val="11"/>
        <color theme="1"/>
        <rFont val="宋体"/>
        <charset val="134"/>
        <scheme val="minor"/>
      </rPr>
      <t>3</t>
    </r>
    <r>
      <rPr>
        <sz val="11"/>
        <color theme="1"/>
        <rFont val="宋体"/>
        <charset val="134"/>
        <scheme val="minor"/>
      </rPr>
      <t>1003;4</t>
    </r>
  </si>
  <si>
    <t>31004;4</t>
  </si>
  <si>
    <t>31005;4</t>
  </si>
  <si>
    <t>31006;4</t>
  </si>
  <si>
    <t>美食</t>
  </si>
  <si>
    <r>
      <rPr>
        <sz val="11"/>
        <color theme="1"/>
        <rFont val="宋体"/>
        <charset val="134"/>
        <scheme val="minor"/>
      </rPr>
      <t>悬挑天镜台：</t>
    </r>
    <r>
      <rPr>
        <b/>
        <sz val="11"/>
        <color theme="1"/>
        <rFont val="宋体"/>
        <charset val="134"/>
        <scheme val="minor"/>
      </rPr>
      <t>观景、文化</t>
    </r>
    <r>
      <rPr>
        <sz val="11"/>
        <color theme="1"/>
        <rFont val="宋体"/>
        <charset val="134"/>
        <scheme val="minor"/>
      </rPr>
      <t>；〔高空系〕</t>
    </r>
  </si>
  <si>
    <t>观景</t>
  </si>
  <si>
    <r>
      <rPr>
        <sz val="11"/>
        <color theme="1"/>
        <rFont val="宋体"/>
        <charset val="134"/>
        <scheme val="minor"/>
      </rPr>
      <t>林梢环形秋千：</t>
    </r>
    <r>
      <rPr>
        <b/>
        <sz val="11"/>
        <color theme="1"/>
        <rFont val="宋体"/>
        <charset val="134"/>
        <scheme val="minor"/>
      </rPr>
      <t>冒险、观景</t>
    </r>
    <r>
      <rPr>
        <sz val="11"/>
        <color theme="1"/>
        <rFont val="宋体"/>
        <charset val="134"/>
        <scheme val="minor"/>
      </rPr>
      <t>；〔高空系〕</t>
    </r>
  </si>
  <si>
    <t>冒险</t>
  </si>
  <si>
    <r>
      <rPr>
        <sz val="11"/>
        <color theme="1"/>
        <rFont val="宋体"/>
        <charset val="134"/>
        <scheme val="minor"/>
      </rPr>
      <t>岩顶观景台：</t>
    </r>
    <r>
      <rPr>
        <b/>
        <sz val="11"/>
        <color theme="1"/>
        <rFont val="宋体"/>
        <charset val="134"/>
        <scheme val="minor"/>
      </rPr>
      <t>观景、文化</t>
    </r>
    <r>
      <rPr>
        <sz val="11"/>
        <color theme="1"/>
        <rFont val="宋体"/>
        <charset val="134"/>
        <scheme val="minor"/>
      </rPr>
      <t>；〔高空系〕</t>
    </r>
  </si>
  <si>
    <t>休闲</t>
  </si>
  <si>
    <r>
      <rPr>
        <sz val="11"/>
        <color theme="1"/>
        <rFont val="宋体"/>
        <charset val="134"/>
        <scheme val="minor"/>
      </rPr>
      <t>解谜小屋：</t>
    </r>
    <r>
      <rPr>
        <b/>
        <sz val="11"/>
        <color theme="1"/>
        <rFont val="宋体"/>
        <charset val="134"/>
        <scheme val="minor"/>
      </rPr>
      <t>冒险、文化</t>
    </r>
  </si>
  <si>
    <t>娱乐</t>
  </si>
  <si>
    <r>
      <rPr>
        <sz val="11"/>
        <color theme="1"/>
        <rFont val="宋体"/>
        <charset val="134"/>
        <scheme val="minor"/>
      </rPr>
      <t>森林绳索乐园：</t>
    </r>
    <r>
      <rPr>
        <b/>
        <sz val="11"/>
        <color theme="1"/>
        <rFont val="宋体"/>
        <charset val="134"/>
        <scheme val="minor"/>
      </rPr>
      <t>冒险</t>
    </r>
    <r>
      <rPr>
        <sz val="11"/>
        <color theme="1"/>
        <rFont val="宋体"/>
        <charset val="134"/>
        <scheme val="minor"/>
      </rPr>
      <t>；〔高空系〕</t>
    </r>
  </si>
  <si>
    <t>社交</t>
  </si>
  <si>
    <r>
      <rPr>
        <sz val="11"/>
        <color theme="1"/>
        <rFont val="宋体"/>
        <charset val="134"/>
        <scheme val="minor"/>
      </rPr>
      <t>星空露天影院：</t>
    </r>
    <r>
      <rPr>
        <b/>
        <sz val="11"/>
        <color theme="1"/>
        <rFont val="宋体"/>
        <charset val="134"/>
        <scheme val="minor"/>
      </rPr>
      <t>娱乐、文化、社交</t>
    </r>
    <r>
      <rPr>
        <sz val="11"/>
        <color theme="1"/>
        <rFont val="宋体"/>
        <charset val="134"/>
        <scheme val="minor"/>
      </rPr>
      <t>；〔夜间活跃〕</t>
    </r>
  </si>
  <si>
    <t>文化</t>
  </si>
  <si>
    <r>
      <rPr>
        <sz val="11"/>
        <color theme="1"/>
        <rFont val="宋体"/>
        <charset val="134"/>
        <scheme val="minor"/>
      </rPr>
      <t>玻璃底观景舱：</t>
    </r>
    <r>
      <rPr>
        <b/>
        <sz val="11"/>
        <color theme="1"/>
        <rFont val="宋体"/>
        <charset val="134"/>
        <scheme val="minor"/>
      </rPr>
      <t>观景、文化</t>
    </r>
    <r>
      <rPr>
        <sz val="11"/>
        <color theme="1"/>
        <rFont val="宋体"/>
        <charset val="134"/>
        <scheme val="minor"/>
      </rPr>
      <t>；〔高空系〕</t>
    </r>
  </si>
  <si>
    <r>
      <rPr>
        <sz val="11"/>
        <color theme="1"/>
        <rFont val="宋体"/>
        <charset val="134"/>
        <scheme val="minor"/>
      </rPr>
      <t>海风音乐露台：</t>
    </r>
    <r>
      <rPr>
        <b/>
        <sz val="11"/>
        <color theme="1"/>
        <rFont val="宋体"/>
        <charset val="134"/>
        <scheme val="minor"/>
      </rPr>
      <t>娱乐、社交、休闲</t>
    </r>
    <r>
      <rPr>
        <sz val="11"/>
        <color theme="1"/>
        <rFont val="宋体"/>
        <charset val="134"/>
        <scheme val="minor"/>
      </rPr>
      <t>；〔水域系、夜间活跃〕</t>
    </r>
  </si>
  <si>
    <r>
      <rPr>
        <sz val="11"/>
        <color theme="1"/>
        <rFont val="宋体"/>
        <charset val="134"/>
        <scheme val="minor"/>
      </rPr>
      <t>夜市轻食摊：</t>
    </r>
    <r>
      <rPr>
        <b/>
        <sz val="11"/>
        <color theme="1"/>
        <rFont val="宋体"/>
        <charset val="134"/>
        <scheme val="minor"/>
      </rPr>
      <t>美食、社交、休闲</t>
    </r>
    <r>
      <rPr>
        <sz val="11"/>
        <color theme="1"/>
        <rFont val="宋体"/>
        <charset val="134"/>
        <scheme val="minor"/>
      </rPr>
      <t>；〔夜间活跃〕</t>
    </r>
  </si>
  <si>
    <r>
      <rPr>
        <sz val="11"/>
        <color theme="1"/>
        <rFont val="宋体"/>
        <charset val="134"/>
        <scheme val="minor"/>
      </rPr>
      <t>森林茶屋：</t>
    </r>
    <r>
      <rPr>
        <b/>
        <sz val="11"/>
        <color theme="1"/>
        <rFont val="宋体"/>
        <charset val="134"/>
        <scheme val="minor"/>
      </rPr>
      <t>美食、休闲</t>
    </r>
  </si>
  <si>
    <r>
      <rPr>
        <sz val="11"/>
        <color theme="1"/>
        <rFont val="宋体"/>
        <charset val="134"/>
        <scheme val="minor"/>
      </rPr>
      <t>石窑披萨坊：</t>
    </r>
    <r>
      <rPr>
        <b/>
        <sz val="11"/>
        <color theme="1"/>
        <rFont val="宋体"/>
        <charset val="134"/>
        <scheme val="minor"/>
      </rPr>
      <t>美食、文化</t>
    </r>
  </si>
  <si>
    <r>
      <rPr>
        <sz val="11"/>
        <color theme="1"/>
        <rFont val="宋体"/>
        <charset val="134"/>
        <scheme val="minor"/>
      </rPr>
      <t>手冲咖啡站：</t>
    </r>
    <r>
      <rPr>
        <b/>
        <sz val="11"/>
        <color theme="1"/>
        <rFont val="宋体"/>
        <charset val="134"/>
        <scheme val="minor"/>
      </rPr>
      <t>美食</t>
    </r>
  </si>
  <si>
    <r>
      <rPr>
        <sz val="11"/>
        <color theme="1"/>
        <rFont val="宋体"/>
        <charset val="134"/>
        <scheme val="minor"/>
      </rPr>
      <t>海风果汁吧：</t>
    </r>
    <r>
      <rPr>
        <b/>
        <sz val="11"/>
        <color theme="1"/>
        <rFont val="宋体"/>
        <charset val="134"/>
        <scheme val="minor"/>
      </rPr>
      <t>美食、休闲</t>
    </r>
    <r>
      <rPr>
        <sz val="11"/>
        <color theme="1"/>
        <rFont val="宋体"/>
        <charset val="134"/>
        <scheme val="minor"/>
      </rPr>
      <t>；〔水域系〕</t>
    </r>
  </si>
  <si>
    <r>
      <rPr>
        <sz val="11"/>
        <color theme="1"/>
        <rFont val="宋体"/>
        <charset val="134"/>
        <scheme val="minor"/>
      </rPr>
      <t>浮桥海鲜档：</t>
    </r>
    <r>
      <rPr>
        <b/>
        <sz val="11"/>
        <color theme="1"/>
        <rFont val="宋体"/>
        <charset val="134"/>
        <scheme val="minor"/>
      </rPr>
      <t>美食、社交</t>
    </r>
    <r>
      <rPr>
        <sz val="11"/>
        <color theme="1"/>
        <rFont val="宋体"/>
        <charset val="134"/>
        <scheme val="minor"/>
      </rPr>
      <t>；〔水域系〕</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</si>
</sst>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theme="1"/>
      <name val="宋体"/>
      <charset val="134"/>
      <scheme val="minor"/>
    </font>
    <font>
      <sz val="12"/>
      <color theme="1"/>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2"/>
      <name val="微软雅黑"/>
      <charset val="134"/>
    </font>
    <font>
      <sz val="9"/>
      <name val="宋体"/>
      <charset val="134"/>
    </font>
    <font>
      <b/>
      <sz val="9"/>
      <name val="宋体"/>
      <charset val="134"/>
    </font>
  </fonts>
  <fills count="35">
    <fill>
      <patternFill patternType="none"/>
    </fill>
    <fill>
      <patternFill patternType="gray125"/>
    </fill>
    <fill>
      <patternFill patternType="solid">
        <fgColor theme="5" tint="0.399945066682943"/>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5" borderId="7" applyNumberFormat="0" applyAlignment="0" applyProtection="0">
      <alignment vertical="center"/>
    </xf>
    <xf numFmtId="0" fontId="13" fillId="6" borderId="8" applyNumberFormat="0" applyAlignment="0" applyProtection="0">
      <alignment vertical="center"/>
    </xf>
    <xf numFmtId="0" fontId="14" fillId="6" borderId="7" applyNumberFormat="0" applyAlignment="0" applyProtection="0">
      <alignment vertical="center"/>
    </xf>
    <xf numFmtId="0" fontId="15" fillId="7"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22">
    <xf numFmtId="0" fontId="0" fillId="0" borderId="0" xfId="0">
      <alignment vertical="center"/>
    </xf>
    <xf numFmtId="0" fontId="1" fillId="0" borderId="0" xfId="0" applyFont="1" applyAlignment="1">
      <alignment horizontal="center" vertical="center" wrapText="1"/>
    </xf>
    <xf numFmtId="0" fontId="2" fillId="0" borderId="0" xfId="0" applyFont="1" applyAlignment="1"/>
    <xf numFmtId="0" fontId="0" fillId="0" borderId="0" xfId="0"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0" xfId="0" applyFont="1">
      <alignment vertical="center"/>
    </xf>
    <xf numFmtId="0" fontId="3" fillId="0" borderId="0" xfId="0" applyFont="1" applyAlignment="1">
      <alignment horizontal="center" vertical="center"/>
    </xf>
    <xf numFmtId="49" fontId="3" fillId="0" borderId="0" xfId="0" applyNumberFormat="1" applyFont="1">
      <alignment vertical="center"/>
    </xf>
    <xf numFmtId="0" fontId="3" fillId="0" borderId="0" xfId="0" applyFont="1" applyAlignment="1"/>
    <xf numFmtId="0" fontId="3" fillId="2" borderId="1" xfId="0" applyFont="1" applyFill="1" applyBorder="1">
      <alignment vertical="center"/>
    </xf>
    <xf numFmtId="49" fontId="3" fillId="2" borderId="1" xfId="0" applyNumberFormat="1" applyFont="1" applyFill="1" applyBorder="1" applyAlignment="1"/>
    <xf numFmtId="49" fontId="3" fillId="2" borderId="1" xfId="0" applyNumberFormat="1" applyFont="1" applyFill="1" applyBorder="1" applyAlignment="1">
      <alignment horizontal="center" vertical="center"/>
    </xf>
    <xf numFmtId="0" fontId="3" fillId="0" borderId="2" xfId="0" applyFont="1" applyBorder="1" applyAlignment="1"/>
    <xf numFmtId="0" fontId="3" fillId="0" borderId="2" xfId="0" applyFont="1" applyBorder="1" applyAlignment="1">
      <alignment horizontal="right"/>
    </xf>
    <xf numFmtId="0" fontId="3" fillId="0" borderId="2" xfId="0" applyFont="1" applyBorder="1">
      <alignment vertical="center"/>
    </xf>
    <xf numFmtId="0" fontId="3" fillId="0" borderId="3" xfId="0" applyFont="1" applyBorder="1" applyAlignment="1"/>
    <xf numFmtId="0" fontId="3" fillId="0" borderId="3" xfId="0" applyFont="1" applyBorder="1" applyAlignment="1">
      <alignment horizontal="right"/>
    </xf>
    <xf numFmtId="0" fontId="3" fillId="0" borderId="3" xfId="0" applyFont="1" applyBorder="1">
      <alignment vertical="center"/>
    </xf>
    <xf numFmtId="0" fontId="3" fillId="3" borderId="3"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O274"/>
  <sheetViews>
    <sheetView showGridLines="0" tabSelected="1" workbookViewId="0">
      <pane xSplit="3" ySplit="4" topLeftCell="X5" activePane="bottomRight" state="frozen"/>
      <selection/>
      <selection pane="topRight"/>
      <selection pane="bottomLeft"/>
      <selection pane="bottomRight" activeCell="Z45" sqref="Z45:Z274"/>
    </sheetView>
  </sheetViews>
  <sheetFormatPr defaultColWidth="9" defaultRowHeight="16.5"/>
  <cols>
    <col min="1" max="2" width="9" style="8"/>
    <col min="3" max="3" width="15.375" style="8" customWidth="1"/>
    <col min="4" max="4" width="9" style="8"/>
    <col min="5" max="5" width="12.75" style="8" customWidth="1"/>
    <col min="6" max="6" width="11.625" style="8" customWidth="1"/>
    <col min="7" max="7" width="9.75" style="8" customWidth="1"/>
    <col min="8" max="8" width="37.125" style="8" customWidth="1"/>
    <col min="9" max="10" width="9" style="8"/>
    <col min="11" max="11" width="25.25" style="8" customWidth="1"/>
    <col min="12" max="13" width="11.875" style="8" customWidth="1"/>
    <col min="14" max="15" width="10.875" style="8" customWidth="1"/>
    <col min="16" max="16" width="27.75" style="8" customWidth="1"/>
    <col min="17" max="17" width="35.75" style="8" customWidth="1"/>
    <col min="18" max="19" width="9" style="8"/>
    <col min="20" max="20" width="31.25" style="8" customWidth="1"/>
    <col min="21" max="21" width="20.375" style="8" customWidth="1"/>
    <col min="22" max="22" width="28.5" style="8" customWidth="1"/>
    <col min="23" max="23" width="20.375" style="8" customWidth="1"/>
    <col min="24" max="24" width="10.375" style="8" customWidth="1"/>
    <col min="25" max="25" width="8.625" style="8" customWidth="1"/>
    <col min="26" max="26" width="7.875" style="9" customWidth="1"/>
    <col min="27" max="27" width="49.125" style="10" customWidth="1"/>
    <col min="28" max="16384" width="9" style="8"/>
  </cols>
  <sheetData>
    <row r="1" spans="1:41">
      <c r="A1" s="11" t="s">
        <v>0</v>
      </c>
      <c r="B1" s="5" t="s">
        <v>1</v>
      </c>
      <c r="C1" s="5" t="s">
        <v>2</v>
      </c>
      <c r="D1" s="5" t="s">
        <v>3</v>
      </c>
      <c r="E1" s="5" t="s">
        <v>4</v>
      </c>
      <c r="F1" s="5" t="s">
        <v>5</v>
      </c>
      <c r="G1" s="5" t="s">
        <v>6</v>
      </c>
      <c r="H1" s="12" t="s">
        <v>7</v>
      </c>
      <c r="I1" s="5" t="s">
        <v>8</v>
      </c>
      <c r="J1" s="5" t="s">
        <v>9</v>
      </c>
      <c r="K1" s="12" t="s">
        <v>10</v>
      </c>
      <c r="L1" s="12" t="s">
        <v>11</v>
      </c>
      <c r="M1" s="12" t="s">
        <v>12</v>
      </c>
      <c r="N1" s="12" t="s">
        <v>13</v>
      </c>
      <c r="O1" s="12" t="s">
        <v>14</v>
      </c>
      <c r="P1" s="5" t="s">
        <v>15</v>
      </c>
      <c r="Q1" s="5" t="s">
        <v>16</v>
      </c>
      <c r="R1" s="5" t="s">
        <v>17</v>
      </c>
      <c r="S1" s="5" t="s">
        <v>18</v>
      </c>
      <c r="T1" s="5" t="s">
        <v>19</v>
      </c>
      <c r="U1" s="5" t="s">
        <v>20</v>
      </c>
      <c r="V1" s="5" t="s">
        <v>21</v>
      </c>
      <c r="W1" s="5" t="s">
        <v>22</v>
      </c>
      <c r="X1" s="5" t="s">
        <v>23</v>
      </c>
      <c r="Y1" s="4" t="s">
        <v>24</v>
      </c>
      <c r="Z1" s="4" t="s">
        <v>25</v>
      </c>
      <c r="AA1" s="13" t="s">
        <v>26</v>
      </c>
      <c r="AB1" s="5" t="s">
        <v>27</v>
      </c>
      <c r="AC1" s="12" t="s">
        <v>28</v>
      </c>
      <c r="AD1" s="12" t="s">
        <v>29</v>
      </c>
      <c r="AE1" s="11"/>
      <c r="AF1" s="11"/>
      <c r="AG1" s="11"/>
      <c r="AH1" s="11"/>
      <c r="AI1" s="11"/>
      <c r="AJ1" s="11"/>
      <c r="AK1" s="11"/>
      <c r="AL1" s="11"/>
      <c r="AM1" s="11"/>
      <c r="AN1" s="11"/>
      <c r="AO1" s="11"/>
    </row>
    <row r="2" spans="1:41">
      <c r="A2" s="11" t="s">
        <v>30</v>
      </c>
      <c r="B2" s="4" t="s">
        <v>31</v>
      </c>
      <c r="C2" s="4" t="s">
        <v>32</v>
      </c>
      <c r="D2" s="4" t="s">
        <v>33</v>
      </c>
      <c r="E2" s="4" t="s">
        <v>34</v>
      </c>
      <c r="F2" s="4" t="s">
        <v>35</v>
      </c>
      <c r="G2" s="12" t="s">
        <v>36</v>
      </c>
      <c r="H2" s="12" t="s">
        <v>37</v>
      </c>
      <c r="I2" s="4" t="s">
        <v>38</v>
      </c>
      <c r="J2" s="4" t="s">
        <v>39</v>
      </c>
      <c r="K2" s="4" t="s">
        <v>40</v>
      </c>
      <c r="L2" s="4" t="s">
        <v>41</v>
      </c>
      <c r="M2" s="4" t="s">
        <v>42</v>
      </c>
      <c r="N2" s="4" t="s">
        <v>43</v>
      </c>
      <c r="O2" s="4" t="s">
        <v>44</v>
      </c>
      <c r="P2" s="4" t="s">
        <v>45</v>
      </c>
      <c r="Q2" s="4" t="s">
        <v>46</v>
      </c>
      <c r="R2" s="4" t="s">
        <v>47</v>
      </c>
      <c r="S2" s="4" t="s">
        <v>48</v>
      </c>
      <c r="T2" s="4" t="s">
        <v>49</v>
      </c>
      <c r="U2" s="4" t="s">
        <v>50</v>
      </c>
      <c r="V2" s="4" t="s">
        <v>51</v>
      </c>
      <c r="W2" s="4" t="s">
        <v>52</v>
      </c>
      <c r="X2" s="4" t="s">
        <v>53</v>
      </c>
      <c r="Y2" s="4" t="s">
        <v>54</v>
      </c>
      <c r="Z2" s="4" t="s">
        <v>55</v>
      </c>
      <c r="AA2" s="14" t="s">
        <v>56</v>
      </c>
      <c r="AB2" s="4" t="s">
        <v>57</v>
      </c>
      <c r="AC2" s="12" t="s">
        <v>58</v>
      </c>
      <c r="AD2" s="5" t="s">
        <v>59</v>
      </c>
      <c r="AE2" s="11"/>
      <c r="AF2" s="11"/>
      <c r="AG2" s="11"/>
      <c r="AH2" s="11"/>
      <c r="AI2" s="11"/>
      <c r="AJ2" s="11"/>
      <c r="AK2" s="11"/>
      <c r="AL2" s="11"/>
      <c r="AM2" s="11"/>
      <c r="AN2" s="11"/>
      <c r="AO2" s="11"/>
    </row>
    <row r="3" spans="1:41">
      <c r="A3" s="11" t="s">
        <v>60</v>
      </c>
      <c r="B3" s="5" t="s">
        <v>61</v>
      </c>
      <c r="C3" s="5" t="s">
        <v>62</v>
      </c>
      <c r="D3" s="5" t="s">
        <v>62</v>
      </c>
      <c r="E3" s="5" t="s">
        <v>61</v>
      </c>
      <c r="F3" s="5" t="s">
        <v>61</v>
      </c>
      <c r="G3" s="5" t="s">
        <v>61</v>
      </c>
      <c r="H3" s="5" t="s">
        <v>61</v>
      </c>
      <c r="I3" s="5" t="s">
        <v>61</v>
      </c>
      <c r="J3" s="5" t="s">
        <v>61</v>
      </c>
      <c r="K3" s="5" t="s">
        <v>61</v>
      </c>
      <c r="L3" s="5" t="s">
        <v>61</v>
      </c>
      <c r="M3" s="5" t="s">
        <v>61</v>
      </c>
      <c r="N3" s="5" t="s">
        <v>61</v>
      </c>
      <c r="O3" s="5" t="s">
        <v>61</v>
      </c>
      <c r="P3" s="5" t="s">
        <v>61</v>
      </c>
      <c r="Q3" s="5" t="s">
        <v>61</v>
      </c>
      <c r="R3" s="5" t="s">
        <v>61</v>
      </c>
      <c r="S3" s="5" t="s">
        <v>61</v>
      </c>
      <c r="T3" s="5" t="s">
        <v>62</v>
      </c>
      <c r="U3" s="5" t="s">
        <v>62</v>
      </c>
      <c r="V3" s="5" t="s">
        <v>62</v>
      </c>
      <c r="W3" s="5" t="s">
        <v>62</v>
      </c>
      <c r="X3" s="5" t="s">
        <v>61</v>
      </c>
      <c r="Y3" s="5" t="s">
        <v>61</v>
      </c>
      <c r="Z3" s="5" t="s">
        <v>61</v>
      </c>
      <c r="AA3" s="13" t="s">
        <v>61</v>
      </c>
      <c r="AB3" s="5" t="s">
        <v>61</v>
      </c>
      <c r="AC3" s="5" t="s">
        <v>61</v>
      </c>
      <c r="AD3" s="5" t="s">
        <v>61</v>
      </c>
      <c r="AE3" s="11"/>
      <c r="AF3" s="11"/>
      <c r="AG3" s="11"/>
      <c r="AH3" s="11"/>
      <c r="AI3" s="11"/>
      <c r="AJ3" s="11"/>
      <c r="AK3" s="11"/>
      <c r="AL3" s="11"/>
      <c r="AM3" s="11"/>
      <c r="AN3" s="11"/>
      <c r="AO3" s="11"/>
    </row>
    <row r="4" spans="1:41">
      <c r="A4" s="11" t="s">
        <v>63</v>
      </c>
      <c r="B4" s="5" t="s">
        <v>64</v>
      </c>
      <c r="C4" s="5" t="s">
        <v>65</v>
      </c>
      <c r="D4" s="5" t="s">
        <v>65</v>
      </c>
      <c r="E4" s="5" t="s">
        <v>64</v>
      </c>
      <c r="F4" s="5" t="s">
        <v>66</v>
      </c>
      <c r="G4" s="5" t="s">
        <v>67</v>
      </c>
      <c r="H4" s="5" t="s">
        <v>68</v>
      </c>
      <c r="I4" s="5" t="s">
        <v>64</v>
      </c>
      <c r="J4" s="5" t="s">
        <v>64</v>
      </c>
      <c r="K4" s="5" t="s">
        <v>69</v>
      </c>
      <c r="L4" s="5" t="s">
        <v>64</v>
      </c>
      <c r="M4" s="5" t="s">
        <v>70</v>
      </c>
      <c r="N4" s="5" t="s">
        <v>64</v>
      </c>
      <c r="O4" s="5" t="s">
        <v>64</v>
      </c>
      <c r="P4" s="5" t="s">
        <v>71</v>
      </c>
      <c r="Q4" s="5" t="s">
        <v>71</v>
      </c>
      <c r="R4" s="5" t="s">
        <v>71</v>
      </c>
      <c r="S4" s="5" t="s">
        <v>64</v>
      </c>
      <c r="T4" s="5" t="s">
        <v>65</v>
      </c>
      <c r="U4" s="5" t="s">
        <v>72</v>
      </c>
      <c r="V4" s="5" t="s">
        <v>65</v>
      </c>
      <c r="W4" s="12" t="s">
        <v>73</v>
      </c>
      <c r="X4" s="5" t="s">
        <v>71</v>
      </c>
      <c r="Y4" s="4" t="s">
        <v>71</v>
      </c>
      <c r="Z4" s="4" t="s">
        <v>64</v>
      </c>
      <c r="AA4" s="13" t="s">
        <v>71</v>
      </c>
      <c r="AB4" s="5" t="s">
        <v>74</v>
      </c>
      <c r="AC4" s="5" t="s">
        <v>64</v>
      </c>
      <c r="AD4" s="5" t="s">
        <v>64</v>
      </c>
      <c r="AE4" s="11"/>
      <c r="AF4" s="11"/>
      <c r="AG4" s="11"/>
      <c r="AH4" s="11"/>
      <c r="AI4" s="11"/>
      <c r="AJ4" s="11"/>
      <c r="AK4" s="11"/>
      <c r="AL4" s="11"/>
      <c r="AM4" s="11"/>
      <c r="AN4" s="11"/>
      <c r="AO4" s="11"/>
    </row>
    <row r="5" spans="1:41">
      <c r="A5" s="11"/>
      <c r="B5" s="15">
        <v>10101</v>
      </c>
      <c r="C5" s="15" t="s">
        <v>75</v>
      </c>
      <c r="D5" s="15"/>
      <c r="E5" s="15">
        <v>1</v>
      </c>
      <c r="F5" s="16" t="str">
        <f>LEFT(TEXT(B5,"0"),1)</f>
        <v>1</v>
      </c>
      <c r="G5" s="15">
        <v>1</v>
      </c>
      <c r="H5" s="15"/>
      <c r="I5" s="15">
        <v>56</v>
      </c>
      <c r="J5" s="15">
        <v>34</v>
      </c>
      <c r="K5" s="15"/>
      <c r="L5" s="15">
        <v>0</v>
      </c>
      <c r="M5" s="15"/>
      <c r="N5" s="15">
        <v>-1</v>
      </c>
      <c r="O5" s="15">
        <v>-1</v>
      </c>
      <c r="P5" s="15"/>
      <c r="Q5" s="15"/>
      <c r="R5" s="15"/>
      <c r="S5" s="15"/>
      <c r="T5" s="15" t="s">
        <v>76</v>
      </c>
      <c r="U5" s="15" t="s">
        <v>77</v>
      </c>
      <c r="V5" s="15"/>
      <c r="W5" s="15">
        <v>2</v>
      </c>
      <c r="X5" s="15"/>
      <c r="Y5" s="6" t="s">
        <v>78</v>
      </c>
      <c r="Z5" s="6">
        <v>1</v>
      </c>
      <c r="AA5" s="15" t="s">
        <v>79</v>
      </c>
      <c r="AB5" s="15">
        <v>0</v>
      </c>
      <c r="AC5" s="17">
        <v>2</v>
      </c>
      <c r="AD5" s="15"/>
      <c r="AE5" s="11"/>
      <c r="AF5" s="11"/>
      <c r="AG5" s="11"/>
      <c r="AH5" s="11"/>
      <c r="AI5" s="11"/>
      <c r="AJ5" s="11"/>
      <c r="AK5" s="11"/>
      <c r="AL5" s="11"/>
      <c r="AM5" s="11"/>
      <c r="AN5" s="11"/>
      <c r="AO5" s="11"/>
    </row>
    <row r="6" spans="1:41">
      <c r="A6" s="11"/>
      <c r="B6" s="18">
        <v>10102</v>
      </c>
      <c r="C6" s="18" t="s">
        <v>75</v>
      </c>
      <c r="D6" s="18"/>
      <c r="E6" s="18">
        <v>2</v>
      </c>
      <c r="F6" s="19" t="str">
        <f t="shared" ref="F6:F79" si="0">LEFT(TEXT(B6,"0"),1)</f>
        <v>1</v>
      </c>
      <c r="G6" s="18">
        <f>G$5+INT((ROWS(G$5:G5))/10)</f>
        <v>1</v>
      </c>
      <c r="H6" s="18"/>
      <c r="I6" s="18">
        <v>175</v>
      </c>
      <c r="J6" s="18">
        <v>34</v>
      </c>
      <c r="K6" s="18"/>
      <c r="L6" s="18">
        <v>0</v>
      </c>
      <c r="M6" s="18"/>
      <c r="N6" s="18">
        <v>-1</v>
      </c>
      <c r="O6" s="18">
        <v>-1</v>
      </c>
      <c r="P6" s="18"/>
      <c r="Q6" s="18"/>
      <c r="R6" s="18"/>
      <c r="S6" s="18"/>
      <c r="T6" s="18" t="s">
        <v>76</v>
      </c>
      <c r="U6" s="18" t="s">
        <v>77</v>
      </c>
      <c r="V6" s="18"/>
      <c r="W6" s="18">
        <v>2</v>
      </c>
      <c r="X6" s="18"/>
      <c r="Y6" s="7" t="s">
        <v>80</v>
      </c>
      <c r="Z6" s="7">
        <v>3</v>
      </c>
      <c r="AA6" s="18" t="s">
        <v>79</v>
      </c>
      <c r="AB6" s="18">
        <v>0</v>
      </c>
      <c r="AC6" s="20">
        <v>4</v>
      </c>
      <c r="AD6" s="18"/>
      <c r="AE6" s="11"/>
      <c r="AF6" s="11"/>
      <c r="AG6" s="11"/>
      <c r="AH6" s="11"/>
      <c r="AI6" s="11"/>
      <c r="AJ6" s="11"/>
      <c r="AK6" s="11"/>
      <c r="AL6" s="11"/>
      <c r="AM6" s="11"/>
      <c r="AN6" s="11"/>
      <c r="AO6" s="11"/>
    </row>
    <row r="7" spans="1:41">
      <c r="A7" s="11"/>
      <c r="B7" s="18">
        <v>10103</v>
      </c>
      <c r="C7" s="18" t="s">
        <v>75</v>
      </c>
      <c r="D7" s="18"/>
      <c r="E7" s="18">
        <v>3</v>
      </c>
      <c r="F7" s="19" t="str">
        <f t="shared" si="0"/>
        <v>1</v>
      </c>
      <c r="G7" s="18">
        <f>G$5+INT((ROWS(G$5:G6))/10)</f>
        <v>1</v>
      </c>
      <c r="H7" s="18"/>
      <c r="I7" s="18">
        <v>361</v>
      </c>
      <c r="J7" s="18">
        <v>46</v>
      </c>
      <c r="K7" s="18"/>
      <c r="L7" s="18">
        <v>0</v>
      </c>
      <c r="M7" s="18"/>
      <c r="N7" s="18">
        <v>-1</v>
      </c>
      <c r="O7" s="18">
        <v>-1</v>
      </c>
      <c r="P7" s="18"/>
      <c r="Q7" s="18"/>
      <c r="R7" s="18"/>
      <c r="S7" s="18"/>
      <c r="T7" s="18" t="s">
        <v>76</v>
      </c>
      <c r="U7" s="18" t="s">
        <v>77</v>
      </c>
      <c r="V7" s="18"/>
      <c r="W7" s="18">
        <v>2</v>
      </c>
      <c r="X7" s="18"/>
      <c r="Y7" s="7" t="s">
        <v>81</v>
      </c>
      <c r="Z7" s="7">
        <v>5</v>
      </c>
      <c r="AA7" s="18" t="s">
        <v>79</v>
      </c>
      <c r="AB7" s="18">
        <v>0</v>
      </c>
      <c r="AC7" s="20">
        <v>6</v>
      </c>
      <c r="AD7" s="18"/>
      <c r="AE7" s="11"/>
      <c r="AF7" s="11"/>
      <c r="AG7" s="11"/>
      <c r="AH7" s="11"/>
      <c r="AI7" s="11"/>
      <c r="AJ7" s="11"/>
      <c r="AK7" s="11"/>
      <c r="AL7" s="11"/>
      <c r="AM7" s="11"/>
      <c r="AN7" s="11"/>
      <c r="AO7" s="11"/>
    </row>
    <row r="8" spans="1:41">
      <c r="A8" s="11"/>
      <c r="B8" s="18">
        <v>10104</v>
      </c>
      <c r="C8" s="18" t="s">
        <v>75</v>
      </c>
      <c r="D8" s="18"/>
      <c r="E8" s="18">
        <v>4</v>
      </c>
      <c r="F8" s="19" t="str">
        <f t="shared" si="0"/>
        <v>1</v>
      </c>
      <c r="G8" s="18">
        <f>G$5+INT((ROWS(G$5:G7))/10)</f>
        <v>1</v>
      </c>
      <c r="H8" s="18"/>
      <c r="I8" s="18">
        <v>636</v>
      </c>
      <c r="J8" s="18">
        <v>52</v>
      </c>
      <c r="K8" s="18"/>
      <c r="L8" s="18">
        <v>0</v>
      </c>
      <c r="M8" s="18"/>
      <c r="N8" s="18">
        <v>-1</v>
      </c>
      <c r="O8" s="18">
        <v>-1</v>
      </c>
      <c r="P8" s="20"/>
      <c r="Q8" s="18"/>
      <c r="R8" s="18"/>
      <c r="S8" s="18"/>
      <c r="T8" s="18" t="s">
        <v>76</v>
      </c>
      <c r="U8" s="18" t="s">
        <v>77</v>
      </c>
      <c r="V8" s="18"/>
      <c r="W8" s="18">
        <v>2</v>
      </c>
      <c r="X8" s="18"/>
      <c r="Y8" s="7" t="s">
        <v>82</v>
      </c>
      <c r="Z8" s="7">
        <v>10</v>
      </c>
      <c r="AA8" s="18" t="s">
        <v>79</v>
      </c>
      <c r="AB8" s="18">
        <v>0</v>
      </c>
      <c r="AC8" s="20">
        <v>8</v>
      </c>
      <c r="AD8" s="18"/>
      <c r="AE8" s="11"/>
      <c r="AF8" s="11"/>
      <c r="AG8" s="11"/>
      <c r="AH8" s="11"/>
      <c r="AI8" s="11"/>
      <c r="AJ8" s="11"/>
      <c r="AK8" s="11"/>
      <c r="AL8" s="11"/>
      <c r="AM8" s="11"/>
      <c r="AN8" s="11"/>
      <c r="AO8" s="11"/>
    </row>
    <row r="9" spans="1:41">
      <c r="A9" s="11"/>
      <c r="B9" s="18">
        <v>10105</v>
      </c>
      <c r="C9" s="18" t="s">
        <v>75</v>
      </c>
      <c r="D9" s="18"/>
      <c r="E9" s="18">
        <v>5</v>
      </c>
      <c r="F9" s="19" t="str">
        <f t="shared" si="0"/>
        <v>1</v>
      </c>
      <c r="G9" s="18">
        <f>G$5+INT((ROWS(G$5:G8))/10)</f>
        <v>1</v>
      </c>
      <c r="H9" s="18"/>
      <c r="I9" s="18">
        <v>767</v>
      </c>
      <c r="J9" s="18">
        <v>59</v>
      </c>
      <c r="K9" s="18"/>
      <c r="L9" s="18">
        <v>0</v>
      </c>
      <c r="M9" s="18"/>
      <c r="N9" s="18">
        <v>-1</v>
      </c>
      <c r="O9" s="18">
        <v>-1</v>
      </c>
      <c r="P9" s="20"/>
      <c r="Q9" s="18"/>
      <c r="R9" s="18"/>
      <c r="S9" s="18"/>
      <c r="T9" s="18" t="s">
        <v>76</v>
      </c>
      <c r="U9" s="18" t="s">
        <v>77</v>
      </c>
      <c r="V9" s="18"/>
      <c r="W9" s="18">
        <v>2</v>
      </c>
      <c r="X9" s="18"/>
      <c r="Y9" s="7" t="s">
        <v>83</v>
      </c>
      <c r="Z9" s="7">
        <v>15</v>
      </c>
      <c r="AA9" s="18" t="s">
        <v>79</v>
      </c>
      <c r="AB9" s="18">
        <v>0</v>
      </c>
      <c r="AC9" s="20">
        <v>10</v>
      </c>
      <c r="AD9" s="18"/>
      <c r="AE9" s="11"/>
      <c r="AF9" s="11"/>
      <c r="AG9" s="11"/>
      <c r="AH9" s="11"/>
      <c r="AI9" s="11"/>
      <c r="AJ9" s="11"/>
      <c r="AK9" s="11"/>
      <c r="AL9" s="11"/>
      <c r="AM9" s="11"/>
      <c r="AN9" s="11"/>
      <c r="AO9" s="11"/>
    </row>
    <row r="10" spans="1:41">
      <c r="A10" s="11"/>
      <c r="B10" s="18">
        <v>10106</v>
      </c>
      <c r="C10" s="18" t="s">
        <v>75</v>
      </c>
      <c r="D10" s="18"/>
      <c r="E10" s="18">
        <v>6</v>
      </c>
      <c r="F10" s="19" t="str">
        <f t="shared" si="0"/>
        <v>1</v>
      </c>
      <c r="G10" s="18">
        <f>G$5+INT((ROWS(G$5:G9))/10)</f>
        <v>1</v>
      </c>
      <c r="H10" s="18"/>
      <c r="I10" s="18">
        <v>1031</v>
      </c>
      <c r="J10" s="18">
        <v>77</v>
      </c>
      <c r="K10" s="18"/>
      <c r="L10" s="18">
        <v>0</v>
      </c>
      <c r="M10" s="18"/>
      <c r="N10" s="18">
        <v>-1</v>
      </c>
      <c r="O10" s="18">
        <v>-1</v>
      </c>
      <c r="P10" s="20"/>
      <c r="Q10" s="18"/>
      <c r="R10" s="18"/>
      <c r="S10" s="18"/>
      <c r="T10" s="18" t="s">
        <v>76</v>
      </c>
      <c r="U10" s="18" t="s">
        <v>77</v>
      </c>
      <c r="V10" s="18"/>
      <c r="W10" s="18">
        <v>2</v>
      </c>
      <c r="X10" s="18"/>
      <c r="Y10" s="7" t="s">
        <v>84</v>
      </c>
      <c r="Z10" s="7">
        <v>20</v>
      </c>
      <c r="AA10" s="18" t="s">
        <v>79</v>
      </c>
      <c r="AB10" s="18">
        <v>0</v>
      </c>
      <c r="AC10" s="20">
        <v>12</v>
      </c>
      <c r="AD10" s="18"/>
      <c r="AE10" s="11"/>
      <c r="AF10" s="11"/>
      <c r="AG10" s="11"/>
      <c r="AH10" s="11"/>
      <c r="AI10" s="11"/>
      <c r="AJ10" s="11"/>
      <c r="AK10" s="11"/>
      <c r="AL10" s="11"/>
      <c r="AM10" s="11"/>
      <c r="AN10" s="11"/>
      <c r="AO10" s="11"/>
    </row>
    <row r="11" spans="1:41">
      <c r="A11" s="11"/>
      <c r="B11" s="18">
        <v>10107</v>
      </c>
      <c r="C11" s="18" t="s">
        <v>75</v>
      </c>
      <c r="D11" s="18"/>
      <c r="E11" s="18">
        <v>7</v>
      </c>
      <c r="F11" s="19" t="str">
        <f t="shared" si="0"/>
        <v>1</v>
      </c>
      <c r="G11" s="18">
        <f>G$5+INT((ROWS(G$5:G10))/10)</f>
        <v>1</v>
      </c>
      <c r="H11" s="18"/>
      <c r="I11" s="18">
        <v>1386</v>
      </c>
      <c r="J11" s="18">
        <v>82</v>
      </c>
      <c r="K11" s="18"/>
      <c r="L11" s="18">
        <v>0</v>
      </c>
      <c r="M11" s="18"/>
      <c r="N11" s="18">
        <v>-1</v>
      </c>
      <c r="O11" s="18">
        <v>-1</v>
      </c>
      <c r="P11" s="20"/>
      <c r="Q11" s="18"/>
      <c r="R11" s="18"/>
      <c r="S11" s="18"/>
      <c r="T11" s="18" t="s">
        <v>76</v>
      </c>
      <c r="U11" s="18" t="s">
        <v>77</v>
      </c>
      <c r="V11" s="18"/>
      <c r="W11" s="18">
        <v>2</v>
      </c>
      <c r="X11" s="18"/>
      <c r="Y11" s="7" t="s">
        <v>85</v>
      </c>
      <c r="Z11" s="7">
        <v>25</v>
      </c>
      <c r="AA11" s="18" t="s">
        <v>79</v>
      </c>
      <c r="AB11" s="18">
        <v>0</v>
      </c>
      <c r="AC11" s="20">
        <v>14</v>
      </c>
      <c r="AD11" s="18"/>
      <c r="AE11" s="11"/>
      <c r="AF11" s="11"/>
      <c r="AG11" s="11"/>
      <c r="AH11" s="11"/>
      <c r="AI11" s="11"/>
      <c r="AJ11" s="11"/>
      <c r="AK11" s="11"/>
      <c r="AL11" s="11"/>
      <c r="AM11" s="11"/>
      <c r="AN11" s="11"/>
      <c r="AO11" s="11"/>
    </row>
    <row r="12" spans="1:41">
      <c r="A12" s="11"/>
      <c r="B12" s="18">
        <v>10108</v>
      </c>
      <c r="C12" s="18" t="s">
        <v>75</v>
      </c>
      <c r="D12" s="18"/>
      <c r="E12" s="18">
        <v>8</v>
      </c>
      <c r="F12" s="19" t="str">
        <f t="shared" si="0"/>
        <v>1</v>
      </c>
      <c r="G12" s="18">
        <f>G$5+INT((ROWS(G$5:G11))/10)</f>
        <v>1</v>
      </c>
      <c r="H12" s="18"/>
      <c r="I12" s="18">
        <v>1496</v>
      </c>
      <c r="J12" s="18">
        <v>89</v>
      </c>
      <c r="K12" s="18"/>
      <c r="L12" s="18">
        <v>0</v>
      </c>
      <c r="M12" s="18"/>
      <c r="N12" s="18">
        <v>-1</v>
      </c>
      <c r="O12" s="18">
        <v>-1</v>
      </c>
      <c r="P12" s="18"/>
      <c r="Q12" s="18"/>
      <c r="R12" s="18"/>
      <c r="S12" s="18"/>
      <c r="T12" s="18" t="s">
        <v>76</v>
      </c>
      <c r="U12" s="18" t="s">
        <v>77</v>
      </c>
      <c r="V12" s="18"/>
      <c r="W12" s="18">
        <v>2</v>
      </c>
      <c r="X12" s="18"/>
      <c r="Y12" s="7" t="s">
        <v>86</v>
      </c>
      <c r="Z12" s="7">
        <v>30</v>
      </c>
      <c r="AA12" s="18" t="s">
        <v>79</v>
      </c>
      <c r="AB12" s="18">
        <v>0</v>
      </c>
      <c r="AC12" s="20">
        <v>16</v>
      </c>
      <c r="AD12" s="18"/>
      <c r="AE12" s="11"/>
      <c r="AF12" s="11"/>
      <c r="AG12" s="11"/>
      <c r="AH12" s="11"/>
      <c r="AI12" s="11"/>
      <c r="AJ12" s="11"/>
      <c r="AK12" s="11"/>
      <c r="AL12" s="11"/>
      <c r="AM12" s="11"/>
      <c r="AN12" s="11"/>
      <c r="AO12" s="11"/>
    </row>
    <row r="13" spans="1:41">
      <c r="A13" s="11"/>
      <c r="B13" s="18">
        <v>10109</v>
      </c>
      <c r="C13" s="18" t="s">
        <v>75</v>
      </c>
      <c r="D13" s="18"/>
      <c r="E13" s="18">
        <v>9</v>
      </c>
      <c r="F13" s="19" t="str">
        <f t="shared" si="0"/>
        <v>1</v>
      </c>
      <c r="G13" s="18">
        <f>G$5+INT((ROWS(G$5:G12))/10)</f>
        <v>1</v>
      </c>
      <c r="H13" s="18"/>
      <c r="I13" s="18">
        <v>1793</v>
      </c>
      <c r="J13" s="18">
        <v>107</v>
      </c>
      <c r="K13" s="18"/>
      <c r="L13" s="18">
        <v>0</v>
      </c>
      <c r="M13" s="18"/>
      <c r="N13" s="18">
        <v>-1</v>
      </c>
      <c r="O13" s="18">
        <v>-1</v>
      </c>
      <c r="P13" s="18"/>
      <c r="Q13" s="18"/>
      <c r="R13" s="18"/>
      <c r="S13" s="18"/>
      <c r="T13" s="18" t="s">
        <v>76</v>
      </c>
      <c r="U13" s="18" t="s">
        <v>77</v>
      </c>
      <c r="V13" s="18"/>
      <c r="W13" s="18">
        <v>2</v>
      </c>
      <c r="X13" s="18"/>
      <c r="Y13" s="7" t="s">
        <v>87</v>
      </c>
      <c r="Z13" s="7">
        <v>35</v>
      </c>
      <c r="AA13" s="18" t="s">
        <v>79</v>
      </c>
      <c r="AB13" s="18">
        <v>0</v>
      </c>
      <c r="AC13" s="20">
        <v>18</v>
      </c>
      <c r="AD13" s="18"/>
      <c r="AE13" s="11"/>
      <c r="AF13" s="11"/>
      <c r="AG13" s="11"/>
      <c r="AH13" s="11"/>
      <c r="AI13" s="11"/>
      <c r="AJ13" s="11"/>
      <c r="AK13" s="11"/>
      <c r="AL13" s="11"/>
      <c r="AM13" s="11"/>
      <c r="AN13" s="11"/>
      <c r="AO13" s="11"/>
    </row>
    <row r="14" spans="1:41">
      <c r="A14" s="11"/>
      <c r="B14" s="18">
        <v>10110</v>
      </c>
      <c r="C14" s="18" t="s">
        <v>75</v>
      </c>
      <c r="D14" s="18"/>
      <c r="E14" s="18">
        <v>10</v>
      </c>
      <c r="F14" s="19" t="str">
        <f t="shared" si="0"/>
        <v>1</v>
      </c>
      <c r="G14" s="18">
        <f>G$5+INT((ROWS(G$5:G13))/10)</f>
        <v>1</v>
      </c>
      <c r="H14" s="18"/>
      <c r="I14" s="18">
        <v>2191</v>
      </c>
      <c r="J14" s="18">
        <v>113</v>
      </c>
      <c r="K14" s="18"/>
      <c r="L14" s="18">
        <v>0</v>
      </c>
      <c r="M14" s="18"/>
      <c r="N14" s="18">
        <v>-1</v>
      </c>
      <c r="O14" s="18">
        <v>-1</v>
      </c>
      <c r="P14" s="18"/>
      <c r="Q14" s="18"/>
      <c r="R14" s="18"/>
      <c r="S14" s="18"/>
      <c r="T14" s="18" t="s">
        <v>76</v>
      </c>
      <c r="U14" s="18" t="s">
        <v>77</v>
      </c>
      <c r="V14" s="18"/>
      <c r="W14" s="18">
        <v>2</v>
      </c>
      <c r="X14" s="18"/>
      <c r="Y14" s="7" t="s">
        <v>88</v>
      </c>
      <c r="Z14" s="7">
        <v>40</v>
      </c>
      <c r="AA14" s="18" t="s">
        <v>79</v>
      </c>
      <c r="AB14" s="18">
        <v>0</v>
      </c>
      <c r="AC14" s="20">
        <v>20</v>
      </c>
      <c r="AD14" s="18"/>
      <c r="AE14" s="11"/>
      <c r="AF14" s="11"/>
      <c r="AG14" s="11"/>
      <c r="AH14" s="11"/>
      <c r="AI14" s="11"/>
      <c r="AJ14" s="11"/>
      <c r="AK14" s="11"/>
      <c r="AL14" s="11"/>
      <c r="AM14" s="11"/>
      <c r="AN14" s="11"/>
      <c r="AO14" s="11"/>
    </row>
    <row r="15" spans="1:41">
      <c r="B15" s="18">
        <v>10201</v>
      </c>
      <c r="C15" s="18" t="s">
        <v>89</v>
      </c>
      <c r="D15" s="20"/>
      <c r="E15" s="18">
        <v>1</v>
      </c>
      <c r="F15" s="19" t="str">
        <f t="shared" si="0"/>
        <v>1</v>
      </c>
      <c r="G15" s="18">
        <f>G$5+INT((ROWS(G$5:G14))/10)</f>
        <v>2</v>
      </c>
      <c r="H15" s="20"/>
      <c r="I15" s="18">
        <v>28</v>
      </c>
      <c r="J15" s="18">
        <v>17</v>
      </c>
      <c r="K15" s="18"/>
      <c r="L15" s="18">
        <v>0</v>
      </c>
      <c r="M15" s="18"/>
      <c r="N15" s="18">
        <v>-1</v>
      </c>
      <c r="O15" s="18">
        <v>-1</v>
      </c>
      <c r="P15" s="20"/>
      <c r="Q15" s="20"/>
      <c r="R15" s="20"/>
      <c r="S15" s="20"/>
      <c r="T15" s="20" t="s">
        <v>90</v>
      </c>
      <c r="U15" s="18" t="s">
        <v>91</v>
      </c>
      <c r="V15" s="18"/>
      <c r="W15" s="18">
        <v>2</v>
      </c>
      <c r="X15" s="18" t="s">
        <v>92</v>
      </c>
      <c r="Y15" s="7" t="s">
        <v>93</v>
      </c>
      <c r="Z15" s="6">
        <v>1</v>
      </c>
      <c r="AA15" s="18" t="s">
        <v>79</v>
      </c>
      <c r="AB15" s="18">
        <v>0</v>
      </c>
      <c r="AC15" s="20">
        <v>2</v>
      </c>
      <c r="AD15" s="20"/>
    </row>
    <row r="16" spans="1:41">
      <c r="B16" s="18">
        <v>10202</v>
      </c>
      <c r="C16" s="18" t="s">
        <v>89</v>
      </c>
      <c r="D16" s="20"/>
      <c r="E16" s="18">
        <v>2</v>
      </c>
      <c r="F16" s="19" t="str">
        <f t="shared" si="0"/>
        <v>1</v>
      </c>
      <c r="G16" s="18">
        <f>G$5+INT((ROWS(G$5:G15))/10)</f>
        <v>2</v>
      </c>
      <c r="H16" s="20"/>
      <c r="I16" s="18">
        <v>87</v>
      </c>
      <c r="J16" s="18">
        <v>17</v>
      </c>
      <c r="K16" s="18"/>
      <c r="L16" s="18">
        <v>0</v>
      </c>
      <c r="M16" s="18"/>
      <c r="N16" s="18">
        <v>-1</v>
      </c>
      <c r="O16" s="18">
        <v>-1</v>
      </c>
      <c r="P16" s="20"/>
      <c r="Q16" s="20"/>
      <c r="R16" s="20"/>
      <c r="S16" s="20"/>
      <c r="T16" s="20" t="s">
        <v>90</v>
      </c>
      <c r="U16" s="18" t="s">
        <v>91</v>
      </c>
      <c r="V16" s="18"/>
      <c r="W16" s="18">
        <v>2</v>
      </c>
      <c r="X16" s="18" t="s">
        <v>92</v>
      </c>
      <c r="Y16" s="7" t="s">
        <v>94</v>
      </c>
      <c r="Z16" s="7">
        <v>3</v>
      </c>
      <c r="AA16" s="18" t="s">
        <v>79</v>
      </c>
      <c r="AB16" s="18">
        <v>0</v>
      </c>
      <c r="AC16" s="20">
        <v>4</v>
      </c>
      <c r="AD16" s="20"/>
    </row>
    <row r="17" spans="2:30">
      <c r="B17" s="18">
        <v>10203</v>
      </c>
      <c r="C17" s="18" t="s">
        <v>89</v>
      </c>
      <c r="D17" s="20"/>
      <c r="E17" s="18">
        <v>3</v>
      </c>
      <c r="F17" s="19" t="str">
        <f t="shared" si="0"/>
        <v>1</v>
      </c>
      <c r="G17" s="18">
        <f>G$5+INT((ROWS(G$5:G16))/10)</f>
        <v>2</v>
      </c>
      <c r="H17" s="20"/>
      <c r="I17" s="18">
        <v>181</v>
      </c>
      <c r="J17" s="18">
        <v>23</v>
      </c>
      <c r="K17" s="18"/>
      <c r="L17" s="18">
        <v>0</v>
      </c>
      <c r="M17" s="18"/>
      <c r="N17" s="18">
        <v>-1</v>
      </c>
      <c r="O17" s="18">
        <v>-1</v>
      </c>
      <c r="P17" s="20"/>
      <c r="Q17" s="20"/>
      <c r="R17" s="20"/>
      <c r="S17" s="20"/>
      <c r="T17" s="20" t="s">
        <v>90</v>
      </c>
      <c r="U17" s="18" t="s">
        <v>91</v>
      </c>
      <c r="V17" s="18"/>
      <c r="W17" s="18">
        <v>2</v>
      </c>
      <c r="X17" s="18" t="s">
        <v>92</v>
      </c>
      <c r="Y17" s="7" t="s">
        <v>95</v>
      </c>
      <c r="Z17" s="7">
        <v>5</v>
      </c>
      <c r="AA17" s="18" t="s">
        <v>79</v>
      </c>
      <c r="AB17" s="18">
        <v>0</v>
      </c>
      <c r="AC17" s="20">
        <v>6</v>
      </c>
      <c r="AD17" s="20"/>
    </row>
    <row r="18" spans="2:30">
      <c r="B18" s="18">
        <v>10204</v>
      </c>
      <c r="C18" s="18" t="s">
        <v>89</v>
      </c>
      <c r="D18" s="20"/>
      <c r="E18" s="18">
        <v>4</v>
      </c>
      <c r="F18" s="19" t="str">
        <f t="shared" si="0"/>
        <v>1</v>
      </c>
      <c r="G18" s="18">
        <f>G$5+INT((ROWS(G$5:G17))/10)</f>
        <v>2</v>
      </c>
      <c r="H18" s="20"/>
      <c r="I18" s="18">
        <v>318</v>
      </c>
      <c r="J18" s="18">
        <v>26</v>
      </c>
      <c r="K18" s="18"/>
      <c r="L18" s="18">
        <v>0</v>
      </c>
      <c r="M18" s="18"/>
      <c r="N18" s="18">
        <v>-1</v>
      </c>
      <c r="O18" s="18">
        <v>-1</v>
      </c>
      <c r="P18" s="20"/>
      <c r="Q18" s="20"/>
      <c r="R18" s="20"/>
      <c r="S18" s="20"/>
      <c r="T18" s="20" t="s">
        <v>90</v>
      </c>
      <c r="U18" s="18" t="s">
        <v>91</v>
      </c>
      <c r="V18" s="18"/>
      <c r="W18" s="18">
        <v>2</v>
      </c>
      <c r="X18" s="18" t="s">
        <v>92</v>
      </c>
      <c r="Y18" s="7" t="s">
        <v>96</v>
      </c>
      <c r="Z18" s="7">
        <v>10</v>
      </c>
      <c r="AA18" s="18" t="s">
        <v>79</v>
      </c>
      <c r="AB18" s="18">
        <v>0</v>
      </c>
      <c r="AC18" s="20">
        <v>8</v>
      </c>
      <c r="AD18" s="20"/>
    </row>
    <row r="19" spans="2:30">
      <c r="B19" s="18">
        <v>10205</v>
      </c>
      <c r="C19" s="18" t="s">
        <v>89</v>
      </c>
      <c r="D19" s="20"/>
      <c r="E19" s="18">
        <v>5</v>
      </c>
      <c r="F19" s="19" t="str">
        <f t="shared" si="0"/>
        <v>1</v>
      </c>
      <c r="G19" s="18">
        <f>G$5+INT((ROWS(G$5:G18))/10)</f>
        <v>2</v>
      </c>
      <c r="H19" s="20"/>
      <c r="I19" s="18">
        <v>384</v>
      </c>
      <c r="J19" s="18">
        <v>30</v>
      </c>
      <c r="K19" s="18"/>
      <c r="L19" s="18">
        <v>0</v>
      </c>
      <c r="M19" s="18"/>
      <c r="N19" s="18">
        <v>-1</v>
      </c>
      <c r="O19" s="18">
        <v>-1</v>
      </c>
      <c r="P19" s="20"/>
      <c r="Q19" s="20"/>
      <c r="R19" s="20"/>
      <c r="S19" s="20"/>
      <c r="T19" s="20" t="s">
        <v>90</v>
      </c>
      <c r="U19" s="18" t="s">
        <v>91</v>
      </c>
      <c r="V19" s="18"/>
      <c r="W19" s="18">
        <v>2</v>
      </c>
      <c r="X19" s="18" t="s">
        <v>92</v>
      </c>
      <c r="Y19" s="7" t="s">
        <v>97</v>
      </c>
      <c r="Z19" s="7">
        <v>15</v>
      </c>
      <c r="AA19" s="21" t="s">
        <v>79</v>
      </c>
      <c r="AB19" s="18">
        <v>0</v>
      </c>
      <c r="AC19" s="20">
        <v>10</v>
      </c>
      <c r="AD19" s="20"/>
    </row>
    <row r="20" spans="2:30">
      <c r="B20" s="18">
        <v>10206</v>
      </c>
      <c r="C20" s="18" t="s">
        <v>89</v>
      </c>
      <c r="D20" s="20"/>
      <c r="E20" s="18">
        <v>6</v>
      </c>
      <c r="F20" s="19" t="str">
        <f t="shared" si="0"/>
        <v>1</v>
      </c>
      <c r="G20" s="18">
        <f>G$5+INT((ROWS(G$5:G19))/10)</f>
        <v>2</v>
      </c>
      <c r="H20" s="20"/>
      <c r="I20" s="18">
        <v>515</v>
      </c>
      <c r="J20" s="18">
        <v>39</v>
      </c>
      <c r="K20" s="18"/>
      <c r="L20" s="18">
        <v>0</v>
      </c>
      <c r="M20" s="18"/>
      <c r="N20" s="18">
        <v>-1</v>
      </c>
      <c r="O20" s="18">
        <v>-1</v>
      </c>
      <c r="P20" s="20"/>
      <c r="Q20" s="20"/>
      <c r="R20" s="20"/>
      <c r="S20" s="20"/>
      <c r="T20" s="20" t="s">
        <v>90</v>
      </c>
      <c r="U20" s="18" t="s">
        <v>91</v>
      </c>
      <c r="V20" s="18"/>
      <c r="W20" s="18">
        <v>2</v>
      </c>
      <c r="X20" s="18" t="s">
        <v>92</v>
      </c>
      <c r="Y20" s="7" t="s">
        <v>98</v>
      </c>
      <c r="Z20" s="7">
        <v>20</v>
      </c>
      <c r="AA20" s="18" t="s">
        <v>79</v>
      </c>
      <c r="AB20" s="18">
        <v>0</v>
      </c>
      <c r="AC20" s="20">
        <v>12</v>
      </c>
      <c r="AD20" s="20"/>
    </row>
    <row r="21" spans="2:30">
      <c r="B21" s="18">
        <v>10207</v>
      </c>
      <c r="C21" s="18" t="s">
        <v>89</v>
      </c>
      <c r="D21" s="20"/>
      <c r="E21" s="18">
        <v>7</v>
      </c>
      <c r="F21" s="19" t="str">
        <f t="shared" si="0"/>
        <v>1</v>
      </c>
      <c r="G21" s="18">
        <f>G$5+INT((ROWS(G$5:G20))/10)</f>
        <v>2</v>
      </c>
      <c r="H21" s="20"/>
      <c r="I21" s="18">
        <v>693</v>
      </c>
      <c r="J21" s="18">
        <v>41</v>
      </c>
      <c r="K21" s="18"/>
      <c r="L21" s="18">
        <v>0</v>
      </c>
      <c r="M21" s="18"/>
      <c r="N21" s="18">
        <v>-1</v>
      </c>
      <c r="O21" s="18">
        <v>-1</v>
      </c>
      <c r="P21" s="20"/>
      <c r="Q21" s="20"/>
      <c r="R21" s="20"/>
      <c r="S21" s="20"/>
      <c r="T21" s="20" t="s">
        <v>90</v>
      </c>
      <c r="U21" s="18" t="s">
        <v>91</v>
      </c>
      <c r="V21" s="18"/>
      <c r="W21" s="18">
        <v>2</v>
      </c>
      <c r="X21" s="18" t="s">
        <v>92</v>
      </c>
      <c r="Y21" s="7" t="s">
        <v>99</v>
      </c>
      <c r="Z21" s="7">
        <v>25</v>
      </c>
      <c r="AA21" s="18" t="s">
        <v>79</v>
      </c>
      <c r="AB21" s="18">
        <v>0</v>
      </c>
      <c r="AC21" s="20">
        <v>14</v>
      </c>
      <c r="AD21" s="20"/>
    </row>
    <row r="22" spans="2:30">
      <c r="B22" s="18">
        <v>10208</v>
      </c>
      <c r="C22" s="18" t="s">
        <v>89</v>
      </c>
      <c r="D22" s="20"/>
      <c r="E22" s="18">
        <v>8</v>
      </c>
      <c r="F22" s="19" t="str">
        <f t="shared" si="0"/>
        <v>1</v>
      </c>
      <c r="G22" s="18">
        <f>G$5+INT((ROWS(G$5:G21))/10)</f>
        <v>2</v>
      </c>
      <c r="H22" s="20"/>
      <c r="I22" s="18">
        <v>748</v>
      </c>
      <c r="J22" s="18">
        <v>45</v>
      </c>
      <c r="K22" s="18"/>
      <c r="L22" s="18">
        <v>0</v>
      </c>
      <c r="M22" s="18"/>
      <c r="N22" s="18">
        <v>-1</v>
      </c>
      <c r="O22" s="18">
        <v>-1</v>
      </c>
      <c r="P22" s="20"/>
      <c r="Q22" s="20"/>
      <c r="R22" s="20"/>
      <c r="S22" s="20"/>
      <c r="T22" s="20" t="s">
        <v>90</v>
      </c>
      <c r="U22" s="18" t="s">
        <v>91</v>
      </c>
      <c r="V22" s="18"/>
      <c r="W22" s="18">
        <v>2</v>
      </c>
      <c r="X22" s="18" t="s">
        <v>92</v>
      </c>
      <c r="Y22" s="7" t="s">
        <v>100</v>
      </c>
      <c r="Z22" s="7">
        <v>30</v>
      </c>
      <c r="AA22" s="18" t="s">
        <v>79</v>
      </c>
      <c r="AB22" s="18">
        <v>0</v>
      </c>
      <c r="AC22" s="20">
        <v>16</v>
      </c>
      <c r="AD22" s="20"/>
    </row>
    <row r="23" spans="2:30">
      <c r="B23" s="18">
        <v>10209</v>
      </c>
      <c r="C23" s="18" t="s">
        <v>89</v>
      </c>
      <c r="D23" s="20"/>
      <c r="E23" s="18">
        <v>9</v>
      </c>
      <c r="F23" s="19" t="str">
        <f t="shared" si="0"/>
        <v>1</v>
      </c>
      <c r="G23" s="18">
        <f>G$5+INT((ROWS(G$5:G22))/10)</f>
        <v>2</v>
      </c>
      <c r="H23" s="20"/>
      <c r="I23" s="18">
        <v>896</v>
      </c>
      <c r="J23" s="18">
        <v>54</v>
      </c>
      <c r="K23" s="18"/>
      <c r="L23" s="18">
        <v>0</v>
      </c>
      <c r="M23" s="18"/>
      <c r="N23" s="18">
        <v>-1</v>
      </c>
      <c r="O23" s="18">
        <v>-1</v>
      </c>
      <c r="P23" s="20"/>
      <c r="Q23" s="20"/>
      <c r="R23" s="20"/>
      <c r="S23" s="20"/>
      <c r="T23" s="20" t="s">
        <v>90</v>
      </c>
      <c r="U23" s="18" t="s">
        <v>91</v>
      </c>
      <c r="V23" s="18"/>
      <c r="W23" s="18">
        <v>2</v>
      </c>
      <c r="X23" s="18" t="s">
        <v>92</v>
      </c>
      <c r="Y23" s="7" t="s">
        <v>101</v>
      </c>
      <c r="Z23" s="7">
        <v>35</v>
      </c>
      <c r="AA23" s="18" t="s">
        <v>79</v>
      </c>
      <c r="AB23" s="18">
        <v>0</v>
      </c>
      <c r="AC23" s="20">
        <v>18</v>
      </c>
      <c r="AD23" s="20"/>
    </row>
    <row r="24" spans="2:30">
      <c r="B24" s="18">
        <v>10210</v>
      </c>
      <c r="C24" s="18" t="s">
        <v>89</v>
      </c>
      <c r="D24" s="20"/>
      <c r="E24" s="18">
        <v>10</v>
      </c>
      <c r="F24" s="19" t="str">
        <f t="shared" si="0"/>
        <v>1</v>
      </c>
      <c r="G24" s="18">
        <f>G$5+INT((ROWS(G$5:G23))/10)</f>
        <v>2</v>
      </c>
      <c r="H24" s="20"/>
      <c r="I24" s="18">
        <v>1096</v>
      </c>
      <c r="J24" s="18">
        <v>56</v>
      </c>
      <c r="K24" s="18"/>
      <c r="L24" s="18">
        <v>0</v>
      </c>
      <c r="M24" s="18"/>
      <c r="N24" s="18">
        <v>-1</v>
      </c>
      <c r="O24" s="18">
        <v>-1</v>
      </c>
      <c r="P24" s="20"/>
      <c r="Q24" s="20"/>
      <c r="R24" s="20"/>
      <c r="S24" s="20"/>
      <c r="T24" s="20" t="s">
        <v>90</v>
      </c>
      <c r="U24" s="18" t="s">
        <v>91</v>
      </c>
      <c r="V24" s="18"/>
      <c r="W24" s="18">
        <v>2</v>
      </c>
      <c r="X24" s="18" t="s">
        <v>92</v>
      </c>
      <c r="Y24" s="7" t="s">
        <v>102</v>
      </c>
      <c r="Z24" s="7">
        <v>40</v>
      </c>
      <c r="AA24" s="18" t="s">
        <v>79</v>
      </c>
      <c r="AB24" s="18">
        <v>0</v>
      </c>
      <c r="AC24" s="20">
        <v>20</v>
      </c>
      <c r="AD24" s="20"/>
    </row>
    <row r="25" spans="2:30">
      <c r="B25" s="18">
        <v>10301</v>
      </c>
      <c r="C25" s="18" t="s">
        <v>103</v>
      </c>
      <c r="D25" s="20"/>
      <c r="E25" s="18">
        <v>1</v>
      </c>
      <c r="F25" s="19" t="str">
        <f t="shared" si="0"/>
        <v>1</v>
      </c>
      <c r="G25" s="18">
        <f>G$5+INT((ROWS(G$5:G24))/10)</f>
        <v>3</v>
      </c>
      <c r="H25" s="18"/>
      <c r="I25" s="18">
        <v>23</v>
      </c>
      <c r="J25" s="18">
        <v>14</v>
      </c>
      <c r="K25" s="18"/>
      <c r="L25" s="18">
        <v>0</v>
      </c>
      <c r="M25" s="18"/>
      <c r="N25" s="18">
        <v>-1</v>
      </c>
      <c r="O25" s="18">
        <v>-1</v>
      </c>
      <c r="P25" s="20"/>
      <c r="Q25" s="20"/>
      <c r="R25" s="20"/>
      <c r="S25" s="20"/>
      <c r="T25" s="20" t="s">
        <v>104</v>
      </c>
      <c r="U25" s="18" t="s">
        <v>105</v>
      </c>
      <c r="V25" s="18"/>
      <c r="W25" s="18">
        <v>2</v>
      </c>
      <c r="X25" s="18" t="s">
        <v>92</v>
      </c>
      <c r="Y25" s="7" t="s">
        <v>106</v>
      </c>
      <c r="Z25" s="6">
        <v>1</v>
      </c>
      <c r="AA25" s="18" t="s">
        <v>79</v>
      </c>
      <c r="AB25" s="18">
        <v>0</v>
      </c>
      <c r="AC25" s="20">
        <v>2</v>
      </c>
      <c r="AD25" s="20"/>
    </row>
    <row r="26" spans="2:30">
      <c r="B26" s="18">
        <v>10302</v>
      </c>
      <c r="C26" s="18" t="s">
        <v>103</v>
      </c>
      <c r="D26" s="20"/>
      <c r="E26" s="18">
        <v>2</v>
      </c>
      <c r="F26" s="19" t="str">
        <f t="shared" si="0"/>
        <v>1</v>
      </c>
      <c r="G26" s="18">
        <f>G$5+INT((ROWS(G$5:G25))/10)</f>
        <v>3</v>
      </c>
      <c r="H26" s="20"/>
      <c r="I26" s="18">
        <v>70</v>
      </c>
      <c r="J26" s="18">
        <v>14</v>
      </c>
      <c r="K26" s="18"/>
      <c r="L26" s="18">
        <v>0</v>
      </c>
      <c r="M26" s="18"/>
      <c r="N26" s="18">
        <v>-1</v>
      </c>
      <c r="O26" s="18">
        <v>-1</v>
      </c>
      <c r="P26" s="20"/>
      <c r="Q26" s="20"/>
      <c r="R26" s="20"/>
      <c r="S26" s="20"/>
      <c r="T26" s="20" t="s">
        <v>104</v>
      </c>
      <c r="U26" s="18" t="s">
        <v>105</v>
      </c>
      <c r="V26" s="18"/>
      <c r="W26" s="18">
        <v>2</v>
      </c>
      <c r="X26" s="18" t="s">
        <v>92</v>
      </c>
      <c r="Y26" s="7" t="s">
        <v>107</v>
      </c>
      <c r="Z26" s="7">
        <v>3</v>
      </c>
      <c r="AA26" s="18" t="s">
        <v>79</v>
      </c>
      <c r="AB26" s="18">
        <v>0</v>
      </c>
      <c r="AC26" s="20">
        <v>4</v>
      </c>
      <c r="AD26" s="20"/>
    </row>
    <row r="27" spans="2:30">
      <c r="B27" s="18">
        <v>10303</v>
      </c>
      <c r="C27" s="18" t="s">
        <v>103</v>
      </c>
      <c r="D27" s="20"/>
      <c r="E27" s="18">
        <v>3</v>
      </c>
      <c r="F27" s="19" t="str">
        <f t="shared" si="0"/>
        <v>1</v>
      </c>
      <c r="G27" s="18">
        <f>G$5+INT((ROWS(G$5:G26))/10)</f>
        <v>3</v>
      </c>
      <c r="H27" s="20"/>
      <c r="I27" s="18">
        <v>145</v>
      </c>
      <c r="J27" s="18">
        <v>18</v>
      </c>
      <c r="K27" s="18"/>
      <c r="L27" s="18">
        <v>0</v>
      </c>
      <c r="M27" s="18"/>
      <c r="N27" s="18">
        <v>-1</v>
      </c>
      <c r="O27" s="18">
        <v>-1</v>
      </c>
      <c r="P27" s="20"/>
      <c r="Q27" s="20"/>
      <c r="R27" s="20"/>
      <c r="S27" s="20"/>
      <c r="T27" s="20" t="s">
        <v>104</v>
      </c>
      <c r="U27" s="18" t="s">
        <v>105</v>
      </c>
      <c r="V27" s="18"/>
      <c r="W27" s="18">
        <v>2</v>
      </c>
      <c r="X27" s="18" t="s">
        <v>92</v>
      </c>
      <c r="Y27" s="7" t="s">
        <v>108</v>
      </c>
      <c r="Z27" s="7">
        <v>5</v>
      </c>
      <c r="AA27" s="18" t="s">
        <v>79</v>
      </c>
      <c r="AB27" s="18">
        <v>0</v>
      </c>
      <c r="AC27" s="20">
        <v>6</v>
      </c>
      <c r="AD27" s="20"/>
    </row>
    <row r="28" spans="2:30">
      <c r="B28" s="18">
        <v>10304</v>
      </c>
      <c r="C28" s="18" t="s">
        <v>103</v>
      </c>
      <c r="D28" s="20"/>
      <c r="E28" s="18">
        <v>4</v>
      </c>
      <c r="F28" s="19" t="str">
        <f t="shared" si="0"/>
        <v>1</v>
      </c>
      <c r="G28" s="18">
        <f>G$5+INT((ROWS(G$5:G27))/10)</f>
        <v>3</v>
      </c>
      <c r="H28" s="20"/>
      <c r="I28" s="18">
        <v>254</v>
      </c>
      <c r="J28" s="18">
        <v>21</v>
      </c>
      <c r="K28" s="18"/>
      <c r="L28" s="18">
        <v>0</v>
      </c>
      <c r="M28" s="18"/>
      <c r="N28" s="18">
        <v>-1</v>
      </c>
      <c r="O28" s="18">
        <v>-1</v>
      </c>
      <c r="P28" s="20"/>
      <c r="Q28" s="20"/>
      <c r="R28" s="20"/>
      <c r="S28" s="20"/>
      <c r="T28" s="20" t="s">
        <v>104</v>
      </c>
      <c r="U28" s="18" t="s">
        <v>105</v>
      </c>
      <c r="V28" s="18"/>
      <c r="W28" s="18">
        <v>2</v>
      </c>
      <c r="X28" s="18" t="s">
        <v>92</v>
      </c>
      <c r="Y28" s="7" t="s">
        <v>109</v>
      </c>
      <c r="Z28" s="7">
        <v>10</v>
      </c>
      <c r="AA28" s="18" t="s">
        <v>79</v>
      </c>
      <c r="AB28" s="18">
        <v>0</v>
      </c>
      <c r="AC28" s="20">
        <v>8</v>
      </c>
      <c r="AD28" s="20"/>
    </row>
    <row r="29" spans="2:30">
      <c r="B29" s="18">
        <v>10305</v>
      </c>
      <c r="C29" s="18" t="s">
        <v>103</v>
      </c>
      <c r="D29" s="20"/>
      <c r="E29" s="18">
        <v>5</v>
      </c>
      <c r="F29" s="19" t="str">
        <f t="shared" si="0"/>
        <v>1</v>
      </c>
      <c r="G29" s="18">
        <f>G$5+INT((ROWS(G$5:G28))/10)</f>
        <v>3</v>
      </c>
      <c r="H29" s="20"/>
      <c r="I29" s="18">
        <v>307</v>
      </c>
      <c r="J29" s="18">
        <v>24</v>
      </c>
      <c r="K29" s="18"/>
      <c r="L29" s="18">
        <v>0</v>
      </c>
      <c r="M29" s="18"/>
      <c r="N29" s="18">
        <v>-1</v>
      </c>
      <c r="O29" s="18">
        <v>-1</v>
      </c>
      <c r="P29" s="20"/>
      <c r="Q29" s="20"/>
      <c r="R29" s="20"/>
      <c r="S29" s="20"/>
      <c r="T29" s="20" t="s">
        <v>104</v>
      </c>
      <c r="U29" s="18" t="s">
        <v>105</v>
      </c>
      <c r="V29" s="18"/>
      <c r="W29" s="18">
        <v>2</v>
      </c>
      <c r="X29" s="18" t="s">
        <v>92</v>
      </c>
      <c r="Y29" s="7" t="s">
        <v>110</v>
      </c>
      <c r="Z29" s="7">
        <v>15</v>
      </c>
      <c r="AA29" s="18" t="s">
        <v>79</v>
      </c>
      <c r="AB29" s="18">
        <v>0</v>
      </c>
      <c r="AC29" s="20">
        <v>10</v>
      </c>
      <c r="AD29" s="20"/>
    </row>
    <row r="30" spans="2:30">
      <c r="B30" s="18">
        <v>10306</v>
      </c>
      <c r="C30" s="18" t="s">
        <v>103</v>
      </c>
      <c r="D30" s="20"/>
      <c r="E30" s="18">
        <v>6</v>
      </c>
      <c r="F30" s="19" t="str">
        <f t="shared" si="0"/>
        <v>1</v>
      </c>
      <c r="G30" s="18">
        <f>G$5+INT((ROWS(G$5:G29))/10)</f>
        <v>3</v>
      </c>
      <c r="H30" s="20"/>
      <c r="I30" s="18">
        <v>412</v>
      </c>
      <c r="J30" s="18">
        <v>31</v>
      </c>
      <c r="K30" s="18"/>
      <c r="L30" s="18">
        <v>0</v>
      </c>
      <c r="M30" s="18"/>
      <c r="N30" s="18">
        <v>-1</v>
      </c>
      <c r="O30" s="18">
        <v>-1</v>
      </c>
      <c r="P30" s="20"/>
      <c r="Q30" s="20"/>
      <c r="R30" s="20"/>
      <c r="S30" s="20"/>
      <c r="T30" s="20" t="s">
        <v>104</v>
      </c>
      <c r="U30" s="18" t="s">
        <v>105</v>
      </c>
      <c r="V30" s="18"/>
      <c r="W30" s="18">
        <v>2</v>
      </c>
      <c r="X30" s="18" t="s">
        <v>92</v>
      </c>
      <c r="Y30" s="7" t="s">
        <v>111</v>
      </c>
      <c r="Z30" s="7">
        <v>20</v>
      </c>
      <c r="AA30" s="18" t="s">
        <v>79</v>
      </c>
      <c r="AB30" s="18">
        <v>0</v>
      </c>
      <c r="AC30" s="20">
        <v>12</v>
      </c>
      <c r="AD30" s="20"/>
    </row>
    <row r="31" spans="2:30">
      <c r="B31" s="18">
        <v>10307</v>
      </c>
      <c r="C31" s="18" t="s">
        <v>103</v>
      </c>
      <c r="D31" s="20"/>
      <c r="E31" s="18">
        <v>7</v>
      </c>
      <c r="F31" s="19" t="str">
        <f t="shared" si="0"/>
        <v>1</v>
      </c>
      <c r="G31" s="18">
        <f>G$5+INT((ROWS(G$5:G30))/10)</f>
        <v>3</v>
      </c>
      <c r="H31" s="20"/>
      <c r="I31" s="18">
        <v>554</v>
      </c>
      <c r="J31" s="18">
        <v>33</v>
      </c>
      <c r="K31" s="18"/>
      <c r="L31" s="18">
        <v>0</v>
      </c>
      <c r="M31" s="18"/>
      <c r="N31" s="18">
        <v>-1</v>
      </c>
      <c r="O31" s="18">
        <v>-1</v>
      </c>
      <c r="P31" s="20"/>
      <c r="Q31" s="20"/>
      <c r="R31" s="20"/>
      <c r="S31" s="20"/>
      <c r="T31" s="20" t="s">
        <v>104</v>
      </c>
      <c r="U31" s="18" t="s">
        <v>105</v>
      </c>
      <c r="V31" s="18"/>
      <c r="W31" s="18">
        <v>2</v>
      </c>
      <c r="X31" s="18" t="s">
        <v>92</v>
      </c>
      <c r="Y31" s="7" t="s">
        <v>112</v>
      </c>
      <c r="Z31" s="7">
        <v>25</v>
      </c>
      <c r="AA31" s="18" t="s">
        <v>79</v>
      </c>
      <c r="AB31" s="18">
        <v>0</v>
      </c>
      <c r="AC31" s="20">
        <v>14</v>
      </c>
      <c r="AD31" s="20"/>
    </row>
    <row r="32" spans="2:30">
      <c r="B32" s="18">
        <v>10308</v>
      </c>
      <c r="C32" s="18" t="s">
        <v>103</v>
      </c>
      <c r="D32" s="20"/>
      <c r="E32" s="18">
        <v>8</v>
      </c>
      <c r="F32" s="19" t="str">
        <f t="shared" si="0"/>
        <v>1</v>
      </c>
      <c r="G32" s="18">
        <f>G$5+INT((ROWS(G$5:G31))/10)</f>
        <v>3</v>
      </c>
      <c r="H32" s="20"/>
      <c r="I32" s="18">
        <v>598</v>
      </c>
      <c r="J32" s="18">
        <v>36</v>
      </c>
      <c r="K32" s="18"/>
      <c r="L32" s="18">
        <v>0</v>
      </c>
      <c r="M32" s="18"/>
      <c r="N32" s="18">
        <v>-1</v>
      </c>
      <c r="O32" s="18">
        <v>-1</v>
      </c>
      <c r="P32" s="20"/>
      <c r="Q32" s="20"/>
      <c r="R32" s="20"/>
      <c r="S32" s="20"/>
      <c r="T32" s="20" t="s">
        <v>104</v>
      </c>
      <c r="U32" s="18" t="s">
        <v>105</v>
      </c>
      <c r="V32" s="18"/>
      <c r="W32" s="18">
        <v>2</v>
      </c>
      <c r="X32" s="18" t="s">
        <v>92</v>
      </c>
      <c r="Y32" s="7" t="s">
        <v>113</v>
      </c>
      <c r="Z32" s="7">
        <v>30</v>
      </c>
      <c r="AA32" s="18" t="s">
        <v>79</v>
      </c>
      <c r="AB32" s="18">
        <v>0</v>
      </c>
      <c r="AC32" s="20">
        <v>16</v>
      </c>
      <c r="AD32" s="20"/>
    </row>
    <row r="33" spans="2:30">
      <c r="B33" s="18">
        <v>10309</v>
      </c>
      <c r="C33" s="18" t="s">
        <v>103</v>
      </c>
      <c r="D33" s="20"/>
      <c r="E33" s="18">
        <v>9</v>
      </c>
      <c r="F33" s="19" t="str">
        <f t="shared" si="0"/>
        <v>1</v>
      </c>
      <c r="G33" s="18">
        <f>G$5+INT((ROWS(G$5:G32))/10)</f>
        <v>3</v>
      </c>
      <c r="H33" s="20"/>
      <c r="I33" s="18">
        <v>717</v>
      </c>
      <c r="J33" s="18">
        <v>43</v>
      </c>
      <c r="K33" s="18"/>
      <c r="L33" s="18">
        <v>0</v>
      </c>
      <c r="M33" s="18"/>
      <c r="N33" s="18">
        <v>-1</v>
      </c>
      <c r="O33" s="18">
        <v>-1</v>
      </c>
      <c r="P33" s="20"/>
      <c r="Q33" s="20"/>
      <c r="R33" s="20"/>
      <c r="S33" s="20"/>
      <c r="T33" s="20" t="s">
        <v>104</v>
      </c>
      <c r="U33" s="18" t="s">
        <v>105</v>
      </c>
      <c r="V33" s="18"/>
      <c r="W33" s="18">
        <v>2</v>
      </c>
      <c r="X33" s="18" t="s">
        <v>92</v>
      </c>
      <c r="Y33" s="7" t="s">
        <v>114</v>
      </c>
      <c r="Z33" s="7">
        <v>35</v>
      </c>
      <c r="AA33" s="18" t="s">
        <v>79</v>
      </c>
      <c r="AB33" s="18">
        <v>0</v>
      </c>
      <c r="AC33" s="20">
        <v>18</v>
      </c>
      <c r="AD33" s="20"/>
    </row>
    <row r="34" spans="2:30">
      <c r="B34" s="18">
        <v>10310</v>
      </c>
      <c r="C34" s="18" t="s">
        <v>103</v>
      </c>
      <c r="D34" s="20"/>
      <c r="E34" s="18">
        <v>10</v>
      </c>
      <c r="F34" s="19" t="str">
        <f t="shared" si="0"/>
        <v>1</v>
      </c>
      <c r="G34" s="18">
        <f>G$5+INT((ROWS(G$5:G33))/10)</f>
        <v>3</v>
      </c>
      <c r="H34" s="20"/>
      <c r="I34" s="18">
        <v>876</v>
      </c>
      <c r="J34" s="18">
        <v>45</v>
      </c>
      <c r="K34" s="18"/>
      <c r="L34" s="18">
        <v>0</v>
      </c>
      <c r="M34" s="18"/>
      <c r="N34" s="18">
        <v>-1</v>
      </c>
      <c r="O34" s="18">
        <v>-1</v>
      </c>
      <c r="P34" s="20"/>
      <c r="Q34" s="20"/>
      <c r="R34" s="20"/>
      <c r="S34" s="20"/>
      <c r="T34" s="20" t="s">
        <v>104</v>
      </c>
      <c r="U34" s="18" t="s">
        <v>105</v>
      </c>
      <c r="V34" s="18"/>
      <c r="W34" s="18">
        <v>2</v>
      </c>
      <c r="X34" s="18" t="s">
        <v>92</v>
      </c>
      <c r="Y34" s="7" t="s">
        <v>115</v>
      </c>
      <c r="Z34" s="7">
        <v>40</v>
      </c>
      <c r="AA34" s="18" t="s">
        <v>79</v>
      </c>
      <c r="AB34" s="18">
        <v>0</v>
      </c>
      <c r="AC34" s="20">
        <v>20</v>
      </c>
      <c r="AD34" s="20"/>
    </row>
    <row r="35" spans="2:30">
      <c r="B35" s="18">
        <v>10401</v>
      </c>
      <c r="C35" s="18" t="s">
        <v>116</v>
      </c>
      <c r="D35" s="20"/>
      <c r="E35" s="18">
        <v>1</v>
      </c>
      <c r="F35" s="19" t="str">
        <f t="shared" si="0"/>
        <v>1</v>
      </c>
      <c r="G35" s="18">
        <f>G$5+INT((ROWS(G$5:G34))/10)</f>
        <v>4</v>
      </c>
      <c r="H35" s="20"/>
      <c r="I35" s="18">
        <v>23</v>
      </c>
      <c r="J35" s="18">
        <v>14</v>
      </c>
      <c r="K35" s="18"/>
      <c r="L35" s="18">
        <v>0</v>
      </c>
      <c r="M35" s="18"/>
      <c r="N35" s="18">
        <v>-1</v>
      </c>
      <c r="O35" s="18">
        <v>-1</v>
      </c>
      <c r="P35" s="20"/>
      <c r="Q35" s="20"/>
      <c r="R35" s="20"/>
      <c r="S35" s="20"/>
      <c r="T35" s="20" t="s">
        <v>117</v>
      </c>
      <c r="U35" s="18" t="s">
        <v>118</v>
      </c>
      <c r="V35" s="18"/>
      <c r="W35" s="18">
        <v>2</v>
      </c>
      <c r="X35" s="18" t="s">
        <v>92</v>
      </c>
      <c r="Y35" s="7" t="s">
        <v>106</v>
      </c>
      <c r="Z35" s="6">
        <v>1</v>
      </c>
      <c r="AA35" s="18" t="s">
        <v>79</v>
      </c>
      <c r="AB35" s="18">
        <v>0</v>
      </c>
      <c r="AC35" s="20">
        <v>2</v>
      </c>
      <c r="AD35" s="20"/>
    </row>
    <row r="36" spans="2:30">
      <c r="B36" s="18">
        <v>10402</v>
      </c>
      <c r="C36" s="18" t="s">
        <v>116</v>
      </c>
      <c r="D36" s="20"/>
      <c r="E36" s="18">
        <v>2</v>
      </c>
      <c r="F36" s="19" t="str">
        <f t="shared" si="0"/>
        <v>1</v>
      </c>
      <c r="G36" s="18">
        <f>G$5+INT((ROWS(G$5:G35))/10)</f>
        <v>4</v>
      </c>
      <c r="H36" s="20"/>
      <c r="I36" s="18">
        <v>70</v>
      </c>
      <c r="J36" s="18">
        <v>14</v>
      </c>
      <c r="K36" s="18"/>
      <c r="L36" s="18">
        <v>0</v>
      </c>
      <c r="M36" s="18"/>
      <c r="N36" s="18">
        <v>-1</v>
      </c>
      <c r="O36" s="18">
        <v>-1</v>
      </c>
      <c r="P36" s="20"/>
      <c r="Q36" s="20"/>
      <c r="R36" s="20"/>
      <c r="S36" s="20"/>
      <c r="T36" s="20" t="s">
        <v>117</v>
      </c>
      <c r="U36" s="18" t="s">
        <v>118</v>
      </c>
      <c r="V36" s="18"/>
      <c r="W36" s="18">
        <v>2</v>
      </c>
      <c r="X36" s="18" t="s">
        <v>92</v>
      </c>
      <c r="Y36" s="7" t="s">
        <v>107</v>
      </c>
      <c r="Z36" s="7">
        <v>3</v>
      </c>
      <c r="AA36" s="18" t="s">
        <v>79</v>
      </c>
      <c r="AB36" s="18">
        <v>0</v>
      </c>
      <c r="AC36" s="20">
        <v>4</v>
      </c>
      <c r="AD36" s="20"/>
    </row>
    <row r="37" spans="2:30">
      <c r="B37" s="18">
        <v>10403</v>
      </c>
      <c r="C37" s="18" t="s">
        <v>116</v>
      </c>
      <c r="D37" s="20"/>
      <c r="E37" s="18">
        <v>3</v>
      </c>
      <c r="F37" s="19" t="str">
        <f t="shared" si="0"/>
        <v>1</v>
      </c>
      <c r="G37" s="18">
        <f>G$5+INT((ROWS(G$5:G36))/10)</f>
        <v>4</v>
      </c>
      <c r="H37" s="20"/>
      <c r="I37" s="18">
        <v>145</v>
      </c>
      <c r="J37" s="18">
        <v>18</v>
      </c>
      <c r="K37" s="18"/>
      <c r="L37" s="18">
        <v>0</v>
      </c>
      <c r="M37" s="18"/>
      <c r="N37" s="18">
        <v>-1</v>
      </c>
      <c r="O37" s="18">
        <v>-1</v>
      </c>
      <c r="P37" s="20"/>
      <c r="Q37" s="20"/>
      <c r="R37" s="20"/>
      <c r="S37" s="20"/>
      <c r="T37" s="20" t="s">
        <v>117</v>
      </c>
      <c r="U37" s="18" t="s">
        <v>118</v>
      </c>
      <c r="V37" s="18"/>
      <c r="W37" s="18">
        <v>2</v>
      </c>
      <c r="X37" s="18" t="s">
        <v>92</v>
      </c>
      <c r="Y37" s="7" t="s">
        <v>108</v>
      </c>
      <c r="Z37" s="7">
        <v>5</v>
      </c>
      <c r="AA37" s="18" t="s">
        <v>79</v>
      </c>
      <c r="AB37" s="18">
        <v>0</v>
      </c>
      <c r="AC37" s="20">
        <v>6</v>
      </c>
      <c r="AD37" s="20"/>
    </row>
    <row r="38" spans="2:30">
      <c r="B38" s="18">
        <v>10404</v>
      </c>
      <c r="C38" s="18" t="s">
        <v>116</v>
      </c>
      <c r="D38" s="20"/>
      <c r="E38" s="18">
        <v>4</v>
      </c>
      <c r="F38" s="19" t="str">
        <f t="shared" si="0"/>
        <v>1</v>
      </c>
      <c r="G38" s="18">
        <f>G$5+INT((ROWS(G$5:G37))/10)</f>
        <v>4</v>
      </c>
      <c r="H38" s="20"/>
      <c r="I38" s="18">
        <v>254</v>
      </c>
      <c r="J38" s="18">
        <v>21</v>
      </c>
      <c r="K38" s="18"/>
      <c r="L38" s="18">
        <v>0</v>
      </c>
      <c r="M38" s="18"/>
      <c r="N38" s="18">
        <v>-1</v>
      </c>
      <c r="O38" s="18">
        <v>-1</v>
      </c>
      <c r="P38" s="20"/>
      <c r="Q38" s="20"/>
      <c r="R38" s="20"/>
      <c r="S38" s="20"/>
      <c r="T38" s="20" t="s">
        <v>117</v>
      </c>
      <c r="U38" s="18" t="s">
        <v>118</v>
      </c>
      <c r="V38" s="18"/>
      <c r="W38" s="18">
        <v>2</v>
      </c>
      <c r="X38" s="18" t="s">
        <v>92</v>
      </c>
      <c r="Y38" s="7" t="s">
        <v>109</v>
      </c>
      <c r="Z38" s="7">
        <v>10</v>
      </c>
      <c r="AA38" s="18" t="s">
        <v>79</v>
      </c>
      <c r="AB38" s="18">
        <v>0</v>
      </c>
      <c r="AC38" s="20">
        <v>8</v>
      </c>
      <c r="AD38" s="20"/>
    </row>
    <row r="39" spans="2:30">
      <c r="B39" s="18">
        <v>10405</v>
      </c>
      <c r="C39" s="18" t="s">
        <v>116</v>
      </c>
      <c r="D39" s="20"/>
      <c r="E39" s="18">
        <v>5</v>
      </c>
      <c r="F39" s="19" t="str">
        <f t="shared" si="0"/>
        <v>1</v>
      </c>
      <c r="G39" s="18">
        <f>G$5+INT((ROWS(G$5:G38))/10)</f>
        <v>4</v>
      </c>
      <c r="H39" s="20"/>
      <c r="I39" s="18">
        <v>307</v>
      </c>
      <c r="J39" s="18">
        <v>24</v>
      </c>
      <c r="K39" s="18"/>
      <c r="L39" s="18">
        <v>0</v>
      </c>
      <c r="M39" s="18"/>
      <c r="N39" s="18">
        <v>-1</v>
      </c>
      <c r="O39" s="18">
        <v>-1</v>
      </c>
      <c r="P39" s="20"/>
      <c r="Q39" s="20"/>
      <c r="R39" s="20"/>
      <c r="S39" s="20"/>
      <c r="T39" s="20" t="s">
        <v>117</v>
      </c>
      <c r="U39" s="18" t="s">
        <v>118</v>
      </c>
      <c r="V39" s="18"/>
      <c r="W39" s="18">
        <v>2</v>
      </c>
      <c r="X39" s="18" t="s">
        <v>92</v>
      </c>
      <c r="Y39" s="7" t="s">
        <v>110</v>
      </c>
      <c r="Z39" s="7">
        <v>15</v>
      </c>
      <c r="AA39" s="18" t="s">
        <v>79</v>
      </c>
      <c r="AB39" s="18">
        <v>0</v>
      </c>
      <c r="AC39" s="20">
        <v>10</v>
      </c>
      <c r="AD39" s="20"/>
    </row>
    <row r="40" spans="2:30">
      <c r="B40" s="18">
        <v>10406</v>
      </c>
      <c r="C40" s="18" t="s">
        <v>116</v>
      </c>
      <c r="D40" s="20"/>
      <c r="E40" s="18">
        <v>6</v>
      </c>
      <c r="F40" s="19" t="str">
        <f t="shared" si="0"/>
        <v>1</v>
      </c>
      <c r="G40" s="18">
        <f>G$5+INT((ROWS(G$5:G39))/10)</f>
        <v>4</v>
      </c>
      <c r="H40" s="20"/>
      <c r="I40" s="18">
        <v>412</v>
      </c>
      <c r="J40" s="18">
        <v>31</v>
      </c>
      <c r="K40" s="18"/>
      <c r="L40" s="18">
        <v>0</v>
      </c>
      <c r="M40" s="18"/>
      <c r="N40" s="18">
        <v>-1</v>
      </c>
      <c r="O40" s="18">
        <v>-1</v>
      </c>
      <c r="P40" s="20"/>
      <c r="Q40" s="20"/>
      <c r="R40" s="20"/>
      <c r="S40" s="20"/>
      <c r="T40" s="20" t="s">
        <v>117</v>
      </c>
      <c r="U40" s="18" t="s">
        <v>118</v>
      </c>
      <c r="V40" s="18"/>
      <c r="W40" s="18">
        <v>2</v>
      </c>
      <c r="X40" s="18" t="s">
        <v>92</v>
      </c>
      <c r="Y40" s="7" t="s">
        <v>111</v>
      </c>
      <c r="Z40" s="7">
        <v>20</v>
      </c>
      <c r="AA40" s="18" t="s">
        <v>79</v>
      </c>
      <c r="AB40" s="18">
        <v>0</v>
      </c>
      <c r="AC40" s="20">
        <v>12</v>
      </c>
      <c r="AD40" s="20"/>
    </row>
    <row r="41" spans="2:30">
      <c r="B41" s="18">
        <v>10407</v>
      </c>
      <c r="C41" s="18" t="s">
        <v>116</v>
      </c>
      <c r="D41" s="20"/>
      <c r="E41" s="18">
        <v>7</v>
      </c>
      <c r="F41" s="19" t="str">
        <f t="shared" si="0"/>
        <v>1</v>
      </c>
      <c r="G41" s="18">
        <f>G$5+INT((ROWS(G$5:G40))/10)</f>
        <v>4</v>
      </c>
      <c r="H41" s="20"/>
      <c r="I41" s="18">
        <v>554</v>
      </c>
      <c r="J41" s="18">
        <v>33</v>
      </c>
      <c r="K41" s="18"/>
      <c r="L41" s="18">
        <v>0</v>
      </c>
      <c r="M41" s="18"/>
      <c r="N41" s="18">
        <v>-1</v>
      </c>
      <c r="O41" s="18">
        <v>-1</v>
      </c>
      <c r="P41" s="20"/>
      <c r="Q41" s="20"/>
      <c r="R41" s="20"/>
      <c r="S41" s="20"/>
      <c r="T41" s="20" t="s">
        <v>117</v>
      </c>
      <c r="U41" s="18" t="s">
        <v>118</v>
      </c>
      <c r="V41" s="18"/>
      <c r="W41" s="18">
        <v>2</v>
      </c>
      <c r="X41" s="18" t="s">
        <v>92</v>
      </c>
      <c r="Y41" s="7" t="s">
        <v>112</v>
      </c>
      <c r="Z41" s="7">
        <v>25</v>
      </c>
      <c r="AA41" s="18" t="s">
        <v>79</v>
      </c>
      <c r="AB41" s="18">
        <v>0</v>
      </c>
      <c r="AC41" s="20">
        <v>14</v>
      </c>
      <c r="AD41" s="20"/>
    </row>
    <row r="42" spans="2:30">
      <c r="B42" s="18">
        <v>10408</v>
      </c>
      <c r="C42" s="18" t="s">
        <v>116</v>
      </c>
      <c r="D42" s="20"/>
      <c r="E42" s="18">
        <v>8</v>
      </c>
      <c r="F42" s="19" t="str">
        <f t="shared" si="0"/>
        <v>1</v>
      </c>
      <c r="G42" s="18">
        <f>G$5+INT((ROWS(G$5:G41))/10)</f>
        <v>4</v>
      </c>
      <c r="H42" s="20"/>
      <c r="I42" s="18">
        <v>598</v>
      </c>
      <c r="J42" s="18">
        <v>36</v>
      </c>
      <c r="K42" s="18"/>
      <c r="L42" s="18">
        <v>0</v>
      </c>
      <c r="M42" s="18"/>
      <c r="N42" s="18">
        <v>-1</v>
      </c>
      <c r="O42" s="18">
        <v>-1</v>
      </c>
      <c r="P42" s="20"/>
      <c r="Q42" s="20"/>
      <c r="R42" s="20"/>
      <c r="S42" s="20"/>
      <c r="T42" s="20" t="s">
        <v>117</v>
      </c>
      <c r="U42" s="18" t="s">
        <v>118</v>
      </c>
      <c r="V42" s="18"/>
      <c r="W42" s="18">
        <v>2</v>
      </c>
      <c r="X42" s="18" t="s">
        <v>92</v>
      </c>
      <c r="Y42" s="7" t="s">
        <v>113</v>
      </c>
      <c r="Z42" s="7">
        <v>30</v>
      </c>
      <c r="AA42" s="18" t="s">
        <v>79</v>
      </c>
      <c r="AB42" s="18">
        <v>0</v>
      </c>
      <c r="AC42" s="20">
        <v>16</v>
      </c>
      <c r="AD42" s="20"/>
    </row>
    <row r="43" spans="2:30">
      <c r="B43" s="18">
        <v>10409</v>
      </c>
      <c r="C43" s="18" t="s">
        <v>116</v>
      </c>
      <c r="D43" s="20"/>
      <c r="E43" s="18">
        <v>9</v>
      </c>
      <c r="F43" s="19" t="str">
        <f t="shared" si="0"/>
        <v>1</v>
      </c>
      <c r="G43" s="18">
        <f>G$5+INT((ROWS(G$5:G42))/10)</f>
        <v>4</v>
      </c>
      <c r="H43" s="20"/>
      <c r="I43" s="18">
        <v>717</v>
      </c>
      <c r="J43" s="18">
        <v>43</v>
      </c>
      <c r="K43" s="18"/>
      <c r="L43" s="18">
        <v>0</v>
      </c>
      <c r="M43" s="18"/>
      <c r="N43" s="18">
        <v>-1</v>
      </c>
      <c r="O43" s="18">
        <v>-1</v>
      </c>
      <c r="P43" s="20"/>
      <c r="Q43" s="20"/>
      <c r="R43" s="20"/>
      <c r="S43" s="20"/>
      <c r="T43" s="20" t="s">
        <v>117</v>
      </c>
      <c r="U43" s="18" t="s">
        <v>118</v>
      </c>
      <c r="V43" s="18"/>
      <c r="W43" s="18">
        <v>2</v>
      </c>
      <c r="X43" s="18" t="s">
        <v>92</v>
      </c>
      <c r="Y43" s="7" t="s">
        <v>114</v>
      </c>
      <c r="Z43" s="7">
        <v>35</v>
      </c>
      <c r="AA43" s="18" t="s">
        <v>79</v>
      </c>
      <c r="AB43" s="18">
        <v>0</v>
      </c>
      <c r="AC43" s="20">
        <v>18</v>
      </c>
      <c r="AD43" s="20"/>
    </row>
    <row r="44" spans="2:30">
      <c r="B44" s="18">
        <v>10410</v>
      </c>
      <c r="C44" s="18" t="s">
        <v>116</v>
      </c>
      <c r="D44" s="20"/>
      <c r="E44" s="18">
        <v>10</v>
      </c>
      <c r="F44" s="19" t="str">
        <f t="shared" si="0"/>
        <v>1</v>
      </c>
      <c r="G44" s="18">
        <f>G$5+INT((ROWS(G$5:G43))/10)</f>
        <v>4</v>
      </c>
      <c r="H44" s="20"/>
      <c r="I44" s="18">
        <v>876</v>
      </c>
      <c r="J44" s="18">
        <v>45</v>
      </c>
      <c r="K44" s="18"/>
      <c r="L44" s="18">
        <v>0</v>
      </c>
      <c r="M44" s="18"/>
      <c r="N44" s="18">
        <v>-1</v>
      </c>
      <c r="O44" s="18">
        <v>-1</v>
      </c>
      <c r="P44" s="20"/>
      <c r="Q44" s="20"/>
      <c r="R44" s="20"/>
      <c r="S44" s="20"/>
      <c r="T44" s="20" t="s">
        <v>117</v>
      </c>
      <c r="U44" s="18" t="s">
        <v>118</v>
      </c>
      <c r="V44" s="18"/>
      <c r="W44" s="18">
        <v>2</v>
      </c>
      <c r="X44" s="18" t="s">
        <v>92</v>
      </c>
      <c r="Y44" s="7" t="s">
        <v>115</v>
      </c>
      <c r="Z44" s="7">
        <v>40</v>
      </c>
      <c r="AA44" s="18" t="s">
        <v>79</v>
      </c>
      <c r="AB44" s="18">
        <v>0</v>
      </c>
      <c r="AC44" s="20">
        <v>20</v>
      </c>
      <c r="AD44" s="20"/>
    </row>
    <row r="45" spans="2:30">
      <c r="B45" s="18">
        <v>20101</v>
      </c>
      <c r="C45" s="20" t="s">
        <v>119</v>
      </c>
      <c r="D45" s="20"/>
      <c r="E45" s="18">
        <v>1</v>
      </c>
      <c r="F45" s="19">
        <v>3</v>
      </c>
      <c r="G45" s="18">
        <f>G$5+INT((ROWS(G$5:G44))/10)</f>
        <v>5</v>
      </c>
      <c r="H45" s="20"/>
      <c r="I45" s="18">
        <v>6</v>
      </c>
      <c r="J45" s="18">
        <v>3</v>
      </c>
      <c r="K45" s="18" t="s">
        <v>120</v>
      </c>
      <c r="L45" s="18">
        <v>3</v>
      </c>
      <c r="M45" s="18" t="str">
        <f>LEFT(B45,3)</f>
        <v>201</v>
      </c>
      <c r="N45" s="18">
        <v>-1</v>
      </c>
      <c r="O45" s="18">
        <v>-1</v>
      </c>
      <c r="P45" s="18" t="s">
        <v>121</v>
      </c>
      <c r="Q45" s="20"/>
      <c r="R45" s="20">
        <v>4320</v>
      </c>
      <c r="S45" s="18">
        <v>300</v>
      </c>
      <c r="T45" s="20" t="s">
        <v>122</v>
      </c>
      <c r="U45" s="18" t="s">
        <v>123</v>
      </c>
      <c r="V45" s="18"/>
      <c r="W45" s="18">
        <v>2</v>
      </c>
      <c r="X45" s="18" t="s">
        <v>92</v>
      </c>
      <c r="Y45" s="7" t="s">
        <v>124</v>
      </c>
      <c r="Z45" s="6">
        <v>1</v>
      </c>
      <c r="AA45" s="18" t="s">
        <v>125</v>
      </c>
      <c r="AB45" s="18">
        <v>1</v>
      </c>
      <c r="AC45" s="20">
        <v>2</v>
      </c>
      <c r="AD45" s="20"/>
    </row>
    <row r="46" spans="2:30">
      <c r="B46" s="18">
        <v>20102</v>
      </c>
      <c r="C46" s="20" t="s">
        <v>119</v>
      </c>
      <c r="D46" s="20"/>
      <c r="E46" s="18">
        <v>2</v>
      </c>
      <c r="F46" s="19">
        <v>3</v>
      </c>
      <c r="G46" s="18">
        <f>G$5+INT((ROWS(G$5:G45))/10)</f>
        <v>5</v>
      </c>
      <c r="H46" s="20"/>
      <c r="I46" s="18">
        <v>17</v>
      </c>
      <c r="J46" s="18">
        <v>3</v>
      </c>
      <c r="K46" s="18" t="s">
        <v>120</v>
      </c>
      <c r="L46" s="18">
        <v>3</v>
      </c>
      <c r="M46" s="18" t="str">
        <f t="shared" ref="M46:M109" si="1">LEFT(B46,3)</f>
        <v>201</v>
      </c>
      <c r="N46" s="18">
        <v>-1</v>
      </c>
      <c r="O46" s="18">
        <v>-1</v>
      </c>
      <c r="P46" s="20" t="s">
        <v>126</v>
      </c>
      <c r="Q46" s="20"/>
      <c r="R46" s="20">
        <v>5184</v>
      </c>
      <c r="S46" s="18">
        <v>300</v>
      </c>
      <c r="T46" s="20" t="s">
        <v>122</v>
      </c>
      <c r="U46" s="18" t="s">
        <v>123</v>
      </c>
      <c r="V46" s="18"/>
      <c r="W46" s="18">
        <v>2</v>
      </c>
      <c r="X46" s="18" t="s">
        <v>92</v>
      </c>
      <c r="Y46" s="7" t="s">
        <v>127</v>
      </c>
      <c r="Z46" s="7">
        <v>3</v>
      </c>
      <c r="AA46" s="18" t="s">
        <v>125</v>
      </c>
      <c r="AB46" s="18">
        <v>1</v>
      </c>
      <c r="AC46" s="20">
        <v>4</v>
      </c>
      <c r="AD46" s="20"/>
    </row>
    <row r="47" spans="2:30">
      <c r="B47" s="18">
        <v>20103</v>
      </c>
      <c r="C47" s="20" t="s">
        <v>119</v>
      </c>
      <c r="D47" s="20"/>
      <c r="E47" s="18">
        <v>3</v>
      </c>
      <c r="F47" s="19">
        <v>3</v>
      </c>
      <c r="G47" s="18">
        <f>G$5+INT((ROWS(G$5:G46))/10)</f>
        <v>5</v>
      </c>
      <c r="H47" s="20"/>
      <c r="I47" s="18">
        <v>36</v>
      </c>
      <c r="J47" s="18">
        <v>5</v>
      </c>
      <c r="K47" s="18" t="s">
        <v>120</v>
      </c>
      <c r="L47" s="18">
        <v>3</v>
      </c>
      <c r="M47" s="18" t="str">
        <f t="shared" si="1"/>
        <v>201</v>
      </c>
      <c r="N47" s="18">
        <v>-1</v>
      </c>
      <c r="O47" s="18">
        <v>-1</v>
      </c>
      <c r="P47" s="18" t="s">
        <v>128</v>
      </c>
      <c r="Q47" s="20"/>
      <c r="R47" s="20">
        <v>6048</v>
      </c>
      <c r="S47" s="18">
        <v>300</v>
      </c>
      <c r="T47" s="20" t="s">
        <v>122</v>
      </c>
      <c r="U47" s="18" t="s">
        <v>123</v>
      </c>
      <c r="V47" s="18"/>
      <c r="W47" s="18">
        <v>2</v>
      </c>
      <c r="X47" s="18" t="s">
        <v>92</v>
      </c>
      <c r="Y47" s="7" t="s">
        <v>129</v>
      </c>
      <c r="Z47" s="7">
        <v>5</v>
      </c>
      <c r="AA47" s="18" t="s">
        <v>125</v>
      </c>
      <c r="AB47" s="18">
        <v>1</v>
      </c>
      <c r="AC47" s="20">
        <v>6</v>
      </c>
      <c r="AD47" s="20"/>
    </row>
    <row r="48" spans="2:30">
      <c r="B48" s="18">
        <v>20104</v>
      </c>
      <c r="C48" s="20" t="s">
        <v>119</v>
      </c>
      <c r="D48" s="20"/>
      <c r="E48" s="18">
        <v>4</v>
      </c>
      <c r="F48" s="19">
        <v>3</v>
      </c>
      <c r="G48" s="18">
        <f>G$5+INT((ROWS(G$5:G47))/10)</f>
        <v>5</v>
      </c>
      <c r="H48" s="20"/>
      <c r="I48" s="18">
        <v>64</v>
      </c>
      <c r="J48" s="18">
        <v>5</v>
      </c>
      <c r="K48" s="18" t="s">
        <v>120</v>
      </c>
      <c r="L48" s="18">
        <v>3</v>
      </c>
      <c r="M48" s="18" t="str">
        <f t="shared" si="1"/>
        <v>201</v>
      </c>
      <c r="N48" s="18">
        <v>-1</v>
      </c>
      <c r="O48" s="18">
        <v>-1</v>
      </c>
      <c r="P48" s="20" t="s">
        <v>130</v>
      </c>
      <c r="Q48" s="20"/>
      <c r="R48" s="20">
        <v>6912</v>
      </c>
      <c r="S48" s="18">
        <v>300</v>
      </c>
      <c r="T48" s="20" t="s">
        <v>122</v>
      </c>
      <c r="U48" s="18" t="s">
        <v>123</v>
      </c>
      <c r="V48" s="18"/>
      <c r="W48" s="18">
        <v>2</v>
      </c>
      <c r="X48" s="18" t="s">
        <v>92</v>
      </c>
      <c r="Y48" s="7" t="s">
        <v>131</v>
      </c>
      <c r="Z48" s="7">
        <v>10</v>
      </c>
      <c r="AA48" s="18" t="s">
        <v>125</v>
      </c>
      <c r="AB48" s="18">
        <v>1</v>
      </c>
      <c r="AC48" s="20">
        <v>8</v>
      </c>
      <c r="AD48" s="20"/>
    </row>
    <row r="49" spans="2:30">
      <c r="B49" s="18">
        <v>20105</v>
      </c>
      <c r="C49" s="20" t="s">
        <v>119</v>
      </c>
      <c r="D49" s="20"/>
      <c r="E49" s="18">
        <v>5</v>
      </c>
      <c r="F49" s="19">
        <v>3</v>
      </c>
      <c r="G49" s="18">
        <f>G$5+INT((ROWS(G$5:G48))/10)</f>
        <v>5</v>
      </c>
      <c r="H49" s="20"/>
      <c r="I49" s="18">
        <v>77</v>
      </c>
      <c r="J49" s="18">
        <v>6</v>
      </c>
      <c r="K49" s="18" t="s">
        <v>120</v>
      </c>
      <c r="L49" s="18">
        <v>3</v>
      </c>
      <c r="M49" s="18" t="str">
        <f t="shared" si="1"/>
        <v>201</v>
      </c>
      <c r="N49" s="18">
        <v>-1</v>
      </c>
      <c r="O49" s="18">
        <v>-1</v>
      </c>
      <c r="P49" s="18" t="s">
        <v>132</v>
      </c>
      <c r="Q49" s="20"/>
      <c r="R49" s="20">
        <v>7776</v>
      </c>
      <c r="S49" s="18">
        <v>300</v>
      </c>
      <c r="T49" s="20" t="s">
        <v>122</v>
      </c>
      <c r="U49" s="18" t="s">
        <v>123</v>
      </c>
      <c r="V49" s="18"/>
      <c r="W49" s="18">
        <v>2</v>
      </c>
      <c r="X49" s="18" t="s">
        <v>92</v>
      </c>
      <c r="Y49" s="7" t="s">
        <v>133</v>
      </c>
      <c r="Z49" s="7">
        <v>15</v>
      </c>
      <c r="AA49" s="18" t="s">
        <v>125</v>
      </c>
      <c r="AB49" s="18">
        <v>1</v>
      </c>
      <c r="AC49" s="20">
        <v>10</v>
      </c>
      <c r="AD49" s="20"/>
    </row>
    <row r="50" spans="2:30">
      <c r="B50" s="18">
        <v>20106</v>
      </c>
      <c r="C50" s="20" t="s">
        <v>119</v>
      </c>
      <c r="D50" s="20"/>
      <c r="E50" s="18">
        <v>6</v>
      </c>
      <c r="F50" s="19">
        <v>3</v>
      </c>
      <c r="G50" s="18">
        <f>G$5+INT((ROWS(G$5:G49))/10)</f>
        <v>5</v>
      </c>
      <c r="H50" s="20"/>
      <c r="I50" s="18">
        <v>103</v>
      </c>
      <c r="J50" s="18">
        <v>8</v>
      </c>
      <c r="K50" s="18" t="s">
        <v>120</v>
      </c>
      <c r="L50" s="18">
        <v>3</v>
      </c>
      <c r="M50" s="18" t="str">
        <f t="shared" si="1"/>
        <v>201</v>
      </c>
      <c r="N50" s="18">
        <v>-1</v>
      </c>
      <c r="O50" s="18">
        <v>-1</v>
      </c>
      <c r="P50" s="20" t="s">
        <v>134</v>
      </c>
      <c r="Q50" s="20"/>
      <c r="R50" s="20">
        <v>8640</v>
      </c>
      <c r="S50" s="18">
        <v>300</v>
      </c>
      <c r="T50" s="20" t="s">
        <v>122</v>
      </c>
      <c r="U50" s="18" t="s">
        <v>123</v>
      </c>
      <c r="V50" s="18"/>
      <c r="W50" s="18">
        <v>2</v>
      </c>
      <c r="X50" s="18" t="s">
        <v>92</v>
      </c>
      <c r="Y50" s="7" t="s">
        <v>135</v>
      </c>
      <c r="Z50" s="7">
        <v>20</v>
      </c>
      <c r="AA50" s="18" t="s">
        <v>125</v>
      </c>
      <c r="AB50" s="18">
        <v>1</v>
      </c>
      <c r="AC50" s="20">
        <v>12</v>
      </c>
      <c r="AD50" s="20"/>
    </row>
    <row r="51" spans="2:30">
      <c r="B51" s="18">
        <v>20107</v>
      </c>
      <c r="C51" s="20" t="s">
        <v>119</v>
      </c>
      <c r="D51" s="20"/>
      <c r="E51" s="18">
        <v>7</v>
      </c>
      <c r="F51" s="19">
        <v>3</v>
      </c>
      <c r="G51" s="18">
        <f>G$5+INT((ROWS(G$5:G50))/10)</f>
        <v>5</v>
      </c>
      <c r="H51" s="20"/>
      <c r="I51" s="18">
        <v>139</v>
      </c>
      <c r="J51" s="18">
        <v>8</v>
      </c>
      <c r="K51" s="18" t="s">
        <v>120</v>
      </c>
      <c r="L51" s="18">
        <v>3</v>
      </c>
      <c r="M51" s="18" t="str">
        <f t="shared" si="1"/>
        <v>201</v>
      </c>
      <c r="N51" s="18">
        <v>-1</v>
      </c>
      <c r="O51" s="18">
        <v>-1</v>
      </c>
      <c r="P51" s="18" t="s">
        <v>136</v>
      </c>
      <c r="Q51" s="20"/>
      <c r="R51" s="20">
        <v>9504</v>
      </c>
      <c r="S51" s="18">
        <v>300</v>
      </c>
      <c r="T51" s="20" t="s">
        <v>122</v>
      </c>
      <c r="U51" s="18" t="s">
        <v>123</v>
      </c>
      <c r="V51" s="18"/>
      <c r="W51" s="18">
        <v>2</v>
      </c>
      <c r="X51" s="18" t="s">
        <v>92</v>
      </c>
      <c r="Y51" s="7" t="s">
        <v>137</v>
      </c>
      <c r="Z51" s="7">
        <v>25</v>
      </c>
      <c r="AA51" s="18" t="s">
        <v>125</v>
      </c>
      <c r="AB51" s="18">
        <v>1</v>
      </c>
      <c r="AC51" s="20">
        <v>14</v>
      </c>
      <c r="AD51" s="20"/>
    </row>
    <row r="52" spans="2:30">
      <c r="B52" s="18">
        <v>20108</v>
      </c>
      <c r="C52" s="20" t="s">
        <v>119</v>
      </c>
      <c r="D52" s="20"/>
      <c r="E52" s="18">
        <v>8</v>
      </c>
      <c r="F52" s="19">
        <v>3</v>
      </c>
      <c r="G52" s="18">
        <f>G$5+INT((ROWS(G$5:G51))/10)</f>
        <v>5</v>
      </c>
      <c r="H52" s="20"/>
      <c r="I52" s="18">
        <v>150</v>
      </c>
      <c r="J52" s="18">
        <v>9</v>
      </c>
      <c r="K52" s="18" t="s">
        <v>120</v>
      </c>
      <c r="L52" s="18">
        <v>3</v>
      </c>
      <c r="M52" s="18" t="str">
        <f t="shared" si="1"/>
        <v>201</v>
      </c>
      <c r="N52" s="18">
        <v>-1</v>
      </c>
      <c r="O52" s="18">
        <v>-1</v>
      </c>
      <c r="P52" s="20" t="s">
        <v>138</v>
      </c>
      <c r="Q52" s="20"/>
      <c r="R52" s="20">
        <v>10368</v>
      </c>
      <c r="S52" s="18">
        <v>300</v>
      </c>
      <c r="T52" s="20" t="s">
        <v>122</v>
      </c>
      <c r="U52" s="18" t="s">
        <v>123</v>
      </c>
      <c r="V52" s="18"/>
      <c r="W52" s="18">
        <v>2</v>
      </c>
      <c r="X52" s="18" t="s">
        <v>92</v>
      </c>
      <c r="Y52" s="7" t="s">
        <v>139</v>
      </c>
      <c r="Z52" s="7">
        <v>30</v>
      </c>
      <c r="AA52" s="18" t="s">
        <v>125</v>
      </c>
      <c r="AB52" s="18">
        <v>1</v>
      </c>
      <c r="AC52" s="20">
        <v>16</v>
      </c>
      <c r="AD52" s="20"/>
    </row>
    <row r="53" spans="2:30">
      <c r="B53" s="18">
        <v>20109</v>
      </c>
      <c r="C53" s="20" t="s">
        <v>119</v>
      </c>
      <c r="D53" s="20"/>
      <c r="E53" s="18">
        <v>9</v>
      </c>
      <c r="F53" s="19">
        <v>3</v>
      </c>
      <c r="G53" s="18">
        <f>G$5+INT((ROWS(G$5:G52))/10)</f>
        <v>5</v>
      </c>
      <c r="H53" s="20"/>
      <c r="I53" s="18">
        <v>179</v>
      </c>
      <c r="J53" s="18">
        <v>11</v>
      </c>
      <c r="K53" s="18" t="s">
        <v>120</v>
      </c>
      <c r="L53" s="18">
        <v>3</v>
      </c>
      <c r="M53" s="18" t="str">
        <f t="shared" si="1"/>
        <v>201</v>
      </c>
      <c r="N53" s="18">
        <v>-1</v>
      </c>
      <c r="O53" s="18">
        <v>-1</v>
      </c>
      <c r="P53" s="18" t="s">
        <v>140</v>
      </c>
      <c r="Q53" s="20"/>
      <c r="R53" s="20">
        <v>11232</v>
      </c>
      <c r="S53" s="18">
        <v>300</v>
      </c>
      <c r="T53" s="20" t="s">
        <v>122</v>
      </c>
      <c r="U53" s="18" t="s">
        <v>123</v>
      </c>
      <c r="V53" s="18"/>
      <c r="W53" s="18">
        <v>2</v>
      </c>
      <c r="X53" s="18" t="s">
        <v>92</v>
      </c>
      <c r="Y53" s="7" t="s">
        <v>141</v>
      </c>
      <c r="Z53" s="7">
        <v>35</v>
      </c>
      <c r="AA53" s="18" t="s">
        <v>125</v>
      </c>
      <c r="AB53" s="18">
        <v>1</v>
      </c>
      <c r="AC53" s="20">
        <v>18</v>
      </c>
      <c r="AD53" s="20"/>
    </row>
    <row r="54" spans="2:30">
      <c r="B54" s="18">
        <v>20110</v>
      </c>
      <c r="C54" s="20" t="s">
        <v>119</v>
      </c>
      <c r="D54" s="20"/>
      <c r="E54" s="18">
        <v>10</v>
      </c>
      <c r="F54" s="19">
        <v>3</v>
      </c>
      <c r="G54" s="18">
        <f>G$5+INT((ROWS(G$5:G53))/10)</f>
        <v>5</v>
      </c>
      <c r="H54" s="20"/>
      <c r="I54" s="18">
        <v>219</v>
      </c>
      <c r="J54" s="18">
        <v>11</v>
      </c>
      <c r="K54" s="18" t="s">
        <v>120</v>
      </c>
      <c r="L54" s="18">
        <v>3</v>
      </c>
      <c r="M54" s="18" t="str">
        <f t="shared" si="1"/>
        <v>201</v>
      </c>
      <c r="N54" s="18">
        <v>-1</v>
      </c>
      <c r="O54" s="18">
        <v>-1</v>
      </c>
      <c r="P54" s="20" t="s">
        <v>142</v>
      </c>
      <c r="Q54" s="20"/>
      <c r="R54" s="20">
        <v>12096</v>
      </c>
      <c r="S54" s="18">
        <v>300</v>
      </c>
      <c r="T54" s="20" t="s">
        <v>122</v>
      </c>
      <c r="U54" s="18" t="s">
        <v>123</v>
      </c>
      <c r="V54" s="18"/>
      <c r="W54" s="18">
        <v>2</v>
      </c>
      <c r="X54" s="18" t="s">
        <v>92</v>
      </c>
      <c r="Y54" s="7" t="s">
        <v>143</v>
      </c>
      <c r="Z54" s="7">
        <v>40</v>
      </c>
      <c r="AA54" s="18" t="s">
        <v>125</v>
      </c>
      <c r="AB54" s="18">
        <v>1</v>
      </c>
      <c r="AC54" s="20">
        <v>20</v>
      </c>
      <c r="AD54" s="20"/>
    </row>
    <row r="55" spans="2:30">
      <c r="B55" s="18">
        <v>20201</v>
      </c>
      <c r="C55" s="20" t="s">
        <v>144</v>
      </c>
      <c r="D55" s="20"/>
      <c r="E55" s="18">
        <v>1</v>
      </c>
      <c r="F55" s="19">
        <v>3</v>
      </c>
      <c r="G55" s="18">
        <f>G$5+INT((ROWS(G$5:G54))/10)</f>
        <v>6</v>
      </c>
      <c r="H55" s="20"/>
      <c r="I55" s="18">
        <v>8</v>
      </c>
      <c r="J55" s="18">
        <v>5</v>
      </c>
      <c r="K55" s="18" t="s">
        <v>120</v>
      </c>
      <c r="L55" s="18">
        <v>3</v>
      </c>
      <c r="M55" s="18" t="str">
        <f t="shared" si="1"/>
        <v>202</v>
      </c>
      <c r="N55" s="18">
        <v>-1</v>
      </c>
      <c r="O55" s="18">
        <v>-1</v>
      </c>
      <c r="P55" s="18" t="s">
        <v>145</v>
      </c>
      <c r="Q55" s="18" t="s">
        <v>146</v>
      </c>
      <c r="R55" s="20">
        <v>2880</v>
      </c>
      <c r="S55" s="18">
        <v>300</v>
      </c>
      <c r="T55" s="20" t="s">
        <v>147</v>
      </c>
      <c r="U55" s="18" t="s">
        <v>148</v>
      </c>
      <c r="V55" s="18"/>
      <c r="W55" s="18">
        <v>2</v>
      </c>
      <c r="X55" s="18" t="s">
        <v>92</v>
      </c>
      <c r="Y55" s="7" t="s">
        <v>149</v>
      </c>
      <c r="Z55" s="6">
        <v>1</v>
      </c>
      <c r="AA55" s="18" t="s">
        <v>150</v>
      </c>
      <c r="AB55" s="18">
        <v>1</v>
      </c>
      <c r="AC55" s="20">
        <v>2</v>
      </c>
      <c r="AD55" s="20"/>
    </row>
    <row r="56" spans="2:30">
      <c r="B56" s="18">
        <v>20202</v>
      </c>
      <c r="C56" s="20" t="s">
        <v>144</v>
      </c>
      <c r="D56" s="20"/>
      <c r="E56" s="18">
        <v>2</v>
      </c>
      <c r="F56" s="19">
        <v>3</v>
      </c>
      <c r="G56" s="18">
        <f>G$5+INT((ROWS(G$5:G55))/10)</f>
        <v>6</v>
      </c>
      <c r="H56" s="20"/>
      <c r="I56" s="18">
        <v>26</v>
      </c>
      <c r="J56" s="18">
        <v>5</v>
      </c>
      <c r="K56" s="18" t="s">
        <v>120</v>
      </c>
      <c r="L56" s="18">
        <v>3</v>
      </c>
      <c r="M56" s="18" t="str">
        <f t="shared" si="1"/>
        <v>202</v>
      </c>
      <c r="N56" s="18">
        <v>-1</v>
      </c>
      <c r="O56" s="18">
        <v>-1</v>
      </c>
      <c r="P56" s="18" t="s">
        <v>151</v>
      </c>
      <c r="Q56" s="18" t="s">
        <v>152</v>
      </c>
      <c r="R56" s="20">
        <v>3456</v>
      </c>
      <c r="S56" s="18">
        <v>300</v>
      </c>
      <c r="T56" s="20" t="s">
        <v>147</v>
      </c>
      <c r="U56" s="18" t="s">
        <v>148</v>
      </c>
      <c r="V56" s="18"/>
      <c r="W56" s="18">
        <v>2</v>
      </c>
      <c r="X56" s="18" t="s">
        <v>92</v>
      </c>
      <c r="Y56" s="7" t="s">
        <v>153</v>
      </c>
      <c r="Z56" s="7">
        <v>3</v>
      </c>
      <c r="AA56" s="18" t="s">
        <v>150</v>
      </c>
      <c r="AB56" s="18">
        <v>1</v>
      </c>
      <c r="AC56" s="20">
        <v>4</v>
      </c>
      <c r="AD56" s="20"/>
    </row>
    <row r="57" spans="2:30">
      <c r="B57" s="18">
        <v>20203</v>
      </c>
      <c r="C57" s="20" t="s">
        <v>144</v>
      </c>
      <c r="D57" s="20"/>
      <c r="E57" s="18">
        <v>3</v>
      </c>
      <c r="F57" s="19">
        <v>3</v>
      </c>
      <c r="G57" s="18">
        <f>G$5+INT((ROWS(G$5:G56))/10)</f>
        <v>6</v>
      </c>
      <c r="H57" s="20"/>
      <c r="I57" s="18">
        <v>54</v>
      </c>
      <c r="J57" s="18">
        <v>7</v>
      </c>
      <c r="K57" s="18" t="s">
        <v>120</v>
      </c>
      <c r="L57" s="18">
        <v>3</v>
      </c>
      <c r="M57" s="18" t="str">
        <f t="shared" si="1"/>
        <v>202</v>
      </c>
      <c r="N57" s="18">
        <v>-1</v>
      </c>
      <c r="O57" s="18">
        <v>-1</v>
      </c>
      <c r="P57" s="18" t="s">
        <v>154</v>
      </c>
      <c r="Q57" s="18" t="s">
        <v>155</v>
      </c>
      <c r="R57" s="20">
        <v>3600</v>
      </c>
      <c r="S57" s="18">
        <v>300</v>
      </c>
      <c r="T57" s="20" t="s">
        <v>147</v>
      </c>
      <c r="U57" s="18" t="s">
        <v>148</v>
      </c>
      <c r="V57" s="18"/>
      <c r="W57" s="18">
        <v>2</v>
      </c>
      <c r="X57" s="18" t="s">
        <v>92</v>
      </c>
      <c r="Y57" s="7" t="s">
        <v>156</v>
      </c>
      <c r="Z57" s="7">
        <v>5</v>
      </c>
      <c r="AA57" s="18" t="s">
        <v>150</v>
      </c>
      <c r="AB57" s="18">
        <v>1</v>
      </c>
      <c r="AC57" s="20">
        <v>6</v>
      </c>
      <c r="AD57" s="20"/>
    </row>
    <row r="58" spans="2:30">
      <c r="B58" s="18">
        <v>20204</v>
      </c>
      <c r="C58" s="20" t="s">
        <v>144</v>
      </c>
      <c r="D58" s="20"/>
      <c r="E58" s="18">
        <v>4</v>
      </c>
      <c r="F58" s="19">
        <v>3</v>
      </c>
      <c r="G58" s="18">
        <f>G$5+INT((ROWS(G$5:G57))/10)</f>
        <v>6</v>
      </c>
      <c r="H58" s="20"/>
      <c r="I58" s="18">
        <v>95</v>
      </c>
      <c r="J58" s="18">
        <v>8</v>
      </c>
      <c r="K58" s="18" t="s">
        <v>120</v>
      </c>
      <c r="L58" s="18">
        <v>3</v>
      </c>
      <c r="M58" s="18" t="str">
        <f t="shared" si="1"/>
        <v>202</v>
      </c>
      <c r="N58" s="18">
        <v>-1</v>
      </c>
      <c r="O58" s="18">
        <v>-1</v>
      </c>
      <c r="P58" s="18" t="s">
        <v>157</v>
      </c>
      <c r="Q58" s="18" t="s">
        <v>158</v>
      </c>
      <c r="R58" s="20">
        <v>4176</v>
      </c>
      <c r="S58" s="18">
        <v>300</v>
      </c>
      <c r="T58" s="20" t="s">
        <v>147</v>
      </c>
      <c r="U58" s="18" t="s">
        <v>148</v>
      </c>
      <c r="V58" s="18"/>
      <c r="W58" s="18">
        <v>2</v>
      </c>
      <c r="X58" s="18" t="s">
        <v>92</v>
      </c>
      <c r="Y58" s="7" t="s">
        <v>159</v>
      </c>
      <c r="Z58" s="7">
        <v>10</v>
      </c>
      <c r="AA58" s="18" t="s">
        <v>150</v>
      </c>
      <c r="AB58" s="18">
        <v>1</v>
      </c>
      <c r="AC58" s="20">
        <v>8</v>
      </c>
      <c r="AD58" s="20"/>
    </row>
    <row r="59" spans="2:30">
      <c r="B59" s="18">
        <v>20205</v>
      </c>
      <c r="C59" s="20" t="s">
        <v>144</v>
      </c>
      <c r="D59" s="20"/>
      <c r="E59" s="18">
        <v>5</v>
      </c>
      <c r="F59" s="19">
        <v>3</v>
      </c>
      <c r="G59" s="18">
        <f>G$5+INT((ROWS(G$5:G58))/10)</f>
        <v>6</v>
      </c>
      <c r="H59" s="20"/>
      <c r="I59" s="18">
        <v>115</v>
      </c>
      <c r="J59" s="18">
        <v>9</v>
      </c>
      <c r="K59" s="18" t="s">
        <v>120</v>
      </c>
      <c r="L59" s="18">
        <v>3</v>
      </c>
      <c r="M59" s="18" t="str">
        <f t="shared" si="1"/>
        <v>202</v>
      </c>
      <c r="N59" s="18">
        <v>-1</v>
      </c>
      <c r="O59" s="18">
        <v>-1</v>
      </c>
      <c r="P59" s="18" t="s">
        <v>160</v>
      </c>
      <c r="Q59" s="18" t="s">
        <v>126</v>
      </c>
      <c r="R59" s="20">
        <v>5184</v>
      </c>
      <c r="S59" s="18">
        <v>300</v>
      </c>
      <c r="T59" s="20" t="s">
        <v>147</v>
      </c>
      <c r="U59" s="18" t="s">
        <v>148</v>
      </c>
      <c r="V59" s="18"/>
      <c r="W59" s="18">
        <v>2</v>
      </c>
      <c r="X59" s="18" t="s">
        <v>92</v>
      </c>
      <c r="Y59" s="7" t="s">
        <v>161</v>
      </c>
      <c r="Z59" s="7">
        <v>15</v>
      </c>
      <c r="AA59" s="18" t="s">
        <v>150</v>
      </c>
      <c r="AB59" s="18">
        <v>1</v>
      </c>
      <c r="AC59" s="20">
        <v>10</v>
      </c>
      <c r="AD59" s="20"/>
    </row>
    <row r="60" spans="2:30">
      <c r="B60" s="18">
        <v>20206</v>
      </c>
      <c r="C60" s="20" t="s">
        <v>144</v>
      </c>
      <c r="D60" s="20"/>
      <c r="E60" s="18">
        <v>6</v>
      </c>
      <c r="F60" s="19">
        <v>3</v>
      </c>
      <c r="G60" s="18">
        <f>G$5+INT((ROWS(G$5:G59))/10)</f>
        <v>6</v>
      </c>
      <c r="H60" s="20"/>
      <c r="I60" s="18">
        <v>155</v>
      </c>
      <c r="J60" s="18">
        <v>12</v>
      </c>
      <c r="K60" s="18" t="s">
        <v>120</v>
      </c>
      <c r="L60" s="18">
        <v>3</v>
      </c>
      <c r="M60" s="18" t="str">
        <f t="shared" si="1"/>
        <v>202</v>
      </c>
      <c r="N60" s="18">
        <v>-1</v>
      </c>
      <c r="O60" s="18">
        <v>-1</v>
      </c>
      <c r="P60" s="18" t="s">
        <v>162</v>
      </c>
      <c r="Q60" s="18" t="s">
        <v>163</v>
      </c>
      <c r="R60" s="20">
        <v>5472</v>
      </c>
      <c r="S60" s="18">
        <v>300</v>
      </c>
      <c r="T60" s="20" t="s">
        <v>147</v>
      </c>
      <c r="U60" s="18" t="s">
        <v>148</v>
      </c>
      <c r="V60" s="18"/>
      <c r="W60" s="18">
        <v>2</v>
      </c>
      <c r="X60" s="18" t="s">
        <v>92</v>
      </c>
      <c r="Y60" s="7" t="s">
        <v>164</v>
      </c>
      <c r="Z60" s="7">
        <v>20</v>
      </c>
      <c r="AA60" s="18" t="s">
        <v>150</v>
      </c>
      <c r="AB60" s="18">
        <v>1</v>
      </c>
      <c r="AC60" s="20">
        <v>12</v>
      </c>
      <c r="AD60" s="20"/>
    </row>
    <row r="61" spans="2:30">
      <c r="B61" s="18">
        <v>20207</v>
      </c>
      <c r="C61" s="20" t="s">
        <v>144</v>
      </c>
      <c r="D61" s="20"/>
      <c r="E61" s="18">
        <v>7</v>
      </c>
      <c r="F61" s="19">
        <v>3</v>
      </c>
      <c r="G61" s="18">
        <f>G$5+INT((ROWS(G$5:G60))/10)</f>
        <v>6</v>
      </c>
      <c r="H61" s="20"/>
      <c r="I61" s="18">
        <v>208</v>
      </c>
      <c r="J61" s="18">
        <v>12</v>
      </c>
      <c r="K61" s="18" t="s">
        <v>120</v>
      </c>
      <c r="L61" s="18">
        <v>3</v>
      </c>
      <c r="M61" s="18" t="str">
        <f t="shared" si="1"/>
        <v>202</v>
      </c>
      <c r="N61" s="18">
        <v>-1</v>
      </c>
      <c r="O61" s="18">
        <v>-1</v>
      </c>
      <c r="P61" s="18" t="s">
        <v>165</v>
      </c>
      <c r="Q61" s="18" t="s">
        <v>166</v>
      </c>
      <c r="R61" s="20">
        <v>5904</v>
      </c>
      <c r="S61" s="18">
        <v>300</v>
      </c>
      <c r="T61" s="20" t="s">
        <v>147</v>
      </c>
      <c r="U61" s="18" t="s">
        <v>148</v>
      </c>
      <c r="V61" s="18"/>
      <c r="W61" s="18">
        <v>2</v>
      </c>
      <c r="X61" s="18" t="s">
        <v>92</v>
      </c>
      <c r="Y61" s="7" t="s">
        <v>167</v>
      </c>
      <c r="Z61" s="7">
        <v>25</v>
      </c>
      <c r="AA61" s="18" t="s">
        <v>150</v>
      </c>
      <c r="AB61" s="18">
        <v>1</v>
      </c>
      <c r="AC61" s="20">
        <v>14</v>
      </c>
      <c r="AD61" s="20"/>
    </row>
    <row r="62" spans="2:30">
      <c r="B62" s="18">
        <v>20208</v>
      </c>
      <c r="C62" s="20" t="s">
        <v>144</v>
      </c>
      <c r="D62" s="20"/>
      <c r="E62" s="18">
        <v>8</v>
      </c>
      <c r="F62" s="19">
        <v>3</v>
      </c>
      <c r="G62" s="18">
        <f>G$5+INT((ROWS(G$5:G61))/10)</f>
        <v>6</v>
      </c>
      <c r="H62" s="20"/>
      <c r="I62" s="18">
        <v>224</v>
      </c>
      <c r="J62" s="18">
        <v>13</v>
      </c>
      <c r="K62" s="18" t="s">
        <v>120</v>
      </c>
      <c r="L62" s="18">
        <v>3</v>
      </c>
      <c r="M62" s="18" t="str">
        <f t="shared" si="1"/>
        <v>202</v>
      </c>
      <c r="N62" s="18">
        <v>-1</v>
      </c>
      <c r="O62" s="18">
        <v>-1</v>
      </c>
      <c r="P62" s="18" t="s">
        <v>168</v>
      </c>
      <c r="Q62" s="18" t="s">
        <v>130</v>
      </c>
      <c r="R62" s="20">
        <v>6912</v>
      </c>
      <c r="S62" s="18">
        <v>300</v>
      </c>
      <c r="T62" s="20" t="s">
        <v>147</v>
      </c>
      <c r="U62" s="18" t="s">
        <v>148</v>
      </c>
      <c r="V62" s="18"/>
      <c r="W62" s="18">
        <v>2</v>
      </c>
      <c r="X62" s="18" t="s">
        <v>92</v>
      </c>
      <c r="Y62" s="7" t="s">
        <v>169</v>
      </c>
      <c r="Z62" s="7">
        <v>30</v>
      </c>
      <c r="AA62" s="18" t="s">
        <v>150</v>
      </c>
      <c r="AB62" s="18">
        <v>1</v>
      </c>
      <c r="AC62" s="20">
        <v>16</v>
      </c>
      <c r="AD62" s="20"/>
    </row>
    <row r="63" spans="2:30">
      <c r="B63" s="18">
        <v>20209</v>
      </c>
      <c r="C63" s="20" t="s">
        <v>144</v>
      </c>
      <c r="D63" s="20"/>
      <c r="E63" s="18">
        <v>9</v>
      </c>
      <c r="F63" s="19">
        <v>3</v>
      </c>
      <c r="G63" s="18">
        <f>G$5+INT((ROWS(G$5:G62))/10)</f>
        <v>6</v>
      </c>
      <c r="H63" s="20"/>
      <c r="I63" s="18">
        <v>269</v>
      </c>
      <c r="J63" s="18">
        <v>16</v>
      </c>
      <c r="K63" s="18" t="s">
        <v>120</v>
      </c>
      <c r="L63" s="18">
        <v>3</v>
      </c>
      <c r="M63" s="18" t="str">
        <f t="shared" si="1"/>
        <v>202</v>
      </c>
      <c r="N63" s="18">
        <v>-1</v>
      </c>
      <c r="O63" s="18">
        <v>-1</v>
      </c>
      <c r="P63" s="18" t="s">
        <v>170</v>
      </c>
      <c r="Q63" s="18" t="s">
        <v>171</v>
      </c>
      <c r="R63" s="20">
        <v>7200</v>
      </c>
      <c r="S63" s="18">
        <v>300</v>
      </c>
      <c r="T63" s="20" t="s">
        <v>147</v>
      </c>
      <c r="U63" s="18" t="s">
        <v>148</v>
      </c>
      <c r="V63" s="18"/>
      <c r="W63" s="18">
        <v>2</v>
      </c>
      <c r="X63" s="18" t="s">
        <v>92</v>
      </c>
      <c r="Y63" s="7" t="s">
        <v>172</v>
      </c>
      <c r="Z63" s="7">
        <v>35</v>
      </c>
      <c r="AA63" s="18" t="s">
        <v>150</v>
      </c>
      <c r="AB63" s="18">
        <v>1</v>
      </c>
      <c r="AC63" s="20">
        <v>18</v>
      </c>
      <c r="AD63" s="20"/>
    </row>
    <row r="64" spans="2:30">
      <c r="B64" s="18">
        <v>20210</v>
      </c>
      <c r="C64" s="20" t="s">
        <v>144</v>
      </c>
      <c r="D64" s="20"/>
      <c r="E64" s="18">
        <v>10</v>
      </c>
      <c r="F64" s="19">
        <v>3</v>
      </c>
      <c r="G64" s="18">
        <f>G$5+INT((ROWS(G$5:G63))/10)</f>
        <v>6</v>
      </c>
      <c r="H64" s="20"/>
      <c r="I64" s="18">
        <v>329</v>
      </c>
      <c r="J64" s="18">
        <v>17</v>
      </c>
      <c r="K64" s="18" t="s">
        <v>120</v>
      </c>
      <c r="L64" s="18">
        <v>3</v>
      </c>
      <c r="M64" s="18" t="str">
        <f t="shared" si="1"/>
        <v>202</v>
      </c>
      <c r="N64" s="18">
        <v>-1</v>
      </c>
      <c r="O64" s="18">
        <v>-1</v>
      </c>
      <c r="P64" s="18" t="s">
        <v>173</v>
      </c>
      <c r="Q64" s="18" t="s">
        <v>174</v>
      </c>
      <c r="R64" s="20">
        <v>7632</v>
      </c>
      <c r="S64" s="18">
        <v>300</v>
      </c>
      <c r="T64" s="20" t="s">
        <v>147</v>
      </c>
      <c r="U64" s="18" t="s">
        <v>148</v>
      </c>
      <c r="V64" s="18"/>
      <c r="W64" s="18">
        <v>2</v>
      </c>
      <c r="X64" s="18" t="s">
        <v>92</v>
      </c>
      <c r="Y64" s="7" t="s">
        <v>175</v>
      </c>
      <c r="Z64" s="7">
        <v>40</v>
      </c>
      <c r="AA64" s="18" t="s">
        <v>150</v>
      </c>
      <c r="AB64" s="18">
        <v>1</v>
      </c>
      <c r="AC64" s="20">
        <v>20</v>
      </c>
      <c r="AD64" s="20"/>
    </row>
    <row r="65" spans="2:30">
      <c r="B65" s="18">
        <v>20301</v>
      </c>
      <c r="C65" s="18" t="s">
        <v>176</v>
      </c>
      <c r="D65" s="20"/>
      <c r="E65" s="18">
        <v>1</v>
      </c>
      <c r="F65" s="19" t="str">
        <f t="shared" si="0"/>
        <v>2</v>
      </c>
      <c r="G65" s="18">
        <f>G$5+INT((ROWS(G$5:G64))/10)</f>
        <v>7</v>
      </c>
      <c r="H65" s="20"/>
      <c r="I65" s="18">
        <v>8</v>
      </c>
      <c r="J65" s="18">
        <v>5</v>
      </c>
      <c r="K65" s="18" t="s">
        <v>120</v>
      </c>
      <c r="L65" s="18">
        <v>3</v>
      </c>
      <c r="M65" s="18" t="str">
        <f t="shared" si="1"/>
        <v>203</v>
      </c>
      <c r="N65" s="18">
        <v>-1</v>
      </c>
      <c r="O65" s="18">
        <v>-1</v>
      </c>
      <c r="P65" s="18" t="s">
        <v>177</v>
      </c>
      <c r="Q65" s="18" t="s">
        <v>178</v>
      </c>
      <c r="R65" s="20"/>
      <c r="S65" s="18">
        <v>300</v>
      </c>
      <c r="T65" s="20" t="s">
        <v>179</v>
      </c>
      <c r="U65" s="18" t="s">
        <v>180</v>
      </c>
      <c r="V65" s="18"/>
      <c r="W65" s="18">
        <v>2</v>
      </c>
      <c r="X65" s="18" t="s">
        <v>92</v>
      </c>
      <c r="Y65" s="7" t="s">
        <v>149</v>
      </c>
      <c r="Z65" s="6">
        <v>1</v>
      </c>
      <c r="AA65" s="18" t="s">
        <v>150</v>
      </c>
      <c r="AB65" s="18">
        <v>1</v>
      </c>
      <c r="AC65" s="20">
        <v>2</v>
      </c>
      <c r="AD65" s="20"/>
    </row>
    <row r="66" spans="2:30">
      <c r="B66" s="18">
        <v>20302</v>
      </c>
      <c r="C66" s="18" t="s">
        <v>176</v>
      </c>
      <c r="D66" s="20"/>
      <c r="E66" s="18">
        <v>2</v>
      </c>
      <c r="F66" s="19" t="str">
        <f t="shared" si="0"/>
        <v>2</v>
      </c>
      <c r="G66" s="18">
        <f>G$5+INT((ROWS(G$5:G65))/10)</f>
        <v>7</v>
      </c>
      <c r="H66" s="20"/>
      <c r="I66" s="18">
        <v>26</v>
      </c>
      <c r="J66" s="18">
        <v>5</v>
      </c>
      <c r="K66" s="18" t="s">
        <v>120</v>
      </c>
      <c r="L66" s="18">
        <v>3</v>
      </c>
      <c r="M66" s="18" t="str">
        <f t="shared" si="1"/>
        <v>203</v>
      </c>
      <c r="N66" s="18">
        <v>-1</v>
      </c>
      <c r="O66" s="18">
        <v>-1</v>
      </c>
      <c r="P66" s="18" t="s">
        <v>181</v>
      </c>
      <c r="Q66" s="18" t="s">
        <v>182</v>
      </c>
      <c r="R66" s="20"/>
      <c r="S66" s="18">
        <v>300</v>
      </c>
      <c r="T66" s="20" t="s">
        <v>179</v>
      </c>
      <c r="U66" s="18" t="s">
        <v>180</v>
      </c>
      <c r="V66" s="18"/>
      <c r="W66" s="18">
        <v>2</v>
      </c>
      <c r="X66" s="18" t="s">
        <v>92</v>
      </c>
      <c r="Y66" s="7" t="s">
        <v>153</v>
      </c>
      <c r="Z66" s="7">
        <v>3</v>
      </c>
      <c r="AA66" s="18" t="s">
        <v>150</v>
      </c>
      <c r="AB66" s="18">
        <v>1</v>
      </c>
      <c r="AC66" s="20">
        <v>4</v>
      </c>
      <c r="AD66" s="20"/>
    </row>
    <row r="67" spans="2:30">
      <c r="B67" s="18">
        <v>20303</v>
      </c>
      <c r="C67" s="18" t="s">
        <v>176</v>
      </c>
      <c r="D67" s="20"/>
      <c r="E67" s="18">
        <v>3</v>
      </c>
      <c r="F67" s="19" t="str">
        <f t="shared" si="0"/>
        <v>2</v>
      </c>
      <c r="G67" s="18">
        <f>G$5+INT((ROWS(G$5:G66))/10)</f>
        <v>7</v>
      </c>
      <c r="H67" s="20"/>
      <c r="I67" s="18">
        <v>54</v>
      </c>
      <c r="J67" s="18">
        <v>7</v>
      </c>
      <c r="K67" s="18" t="s">
        <v>120</v>
      </c>
      <c r="L67" s="18">
        <v>3</v>
      </c>
      <c r="M67" s="18" t="str">
        <f t="shared" si="1"/>
        <v>203</v>
      </c>
      <c r="N67" s="18">
        <v>-1</v>
      </c>
      <c r="O67" s="18">
        <v>-1</v>
      </c>
      <c r="P67" s="18" t="s">
        <v>183</v>
      </c>
      <c r="Q67" s="18" t="s">
        <v>145</v>
      </c>
      <c r="R67" s="20"/>
      <c r="S67" s="18">
        <v>300</v>
      </c>
      <c r="T67" s="20" t="s">
        <v>179</v>
      </c>
      <c r="U67" s="18" t="s">
        <v>180</v>
      </c>
      <c r="V67" s="18"/>
      <c r="W67" s="18">
        <v>2</v>
      </c>
      <c r="X67" s="18" t="s">
        <v>92</v>
      </c>
      <c r="Y67" s="7" t="s">
        <v>156</v>
      </c>
      <c r="Z67" s="7">
        <v>5</v>
      </c>
      <c r="AA67" s="18" t="s">
        <v>150</v>
      </c>
      <c r="AB67" s="18">
        <v>1</v>
      </c>
      <c r="AC67" s="20">
        <v>6</v>
      </c>
      <c r="AD67" s="20"/>
    </row>
    <row r="68" spans="2:30">
      <c r="B68" s="18">
        <v>20304</v>
      </c>
      <c r="C68" s="18" t="s">
        <v>176</v>
      </c>
      <c r="D68" s="20"/>
      <c r="E68" s="18">
        <v>4</v>
      </c>
      <c r="F68" s="19" t="str">
        <f t="shared" si="0"/>
        <v>2</v>
      </c>
      <c r="G68" s="18">
        <f>G$5+INT((ROWS(G$5:G67))/10)</f>
        <v>7</v>
      </c>
      <c r="H68" s="20"/>
      <c r="I68" s="18">
        <v>95</v>
      </c>
      <c r="J68" s="18">
        <v>8</v>
      </c>
      <c r="K68" s="18" t="s">
        <v>120</v>
      </c>
      <c r="L68" s="18">
        <v>3</v>
      </c>
      <c r="M68" s="18" t="str">
        <f t="shared" si="1"/>
        <v>203</v>
      </c>
      <c r="N68" s="18">
        <v>-1</v>
      </c>
      <c r="O68" s="18">
        <v>-1</v>
      </c>
      <c r="P68" s="18" t="s">
        <v>184</v>
      </c>
      <c r="Q68" s="18" t="s">
        <v>185</v>
      </c>
      <c r="R68" s="20"/>
      <c r="S68" s="18">
        <v>300</v>
      </c>
      <c r="T68" s="20" t="s">
        <v>179</v>
      </c>
      <c r="U68" s="18" t="s">
        <v>180</v>
      </c>
      <c r="V68" s="18"/>
      <c r="W68" s="18">
        <v>2</v>
      </c>
      <c r="X68" s="18" t="s">
        <v>92</v>
      </c>
      <c r="Y68" s="7" t="s">
        <v>159</v>
      </c>
      <c r="Z68" s="7">
        <v>10</v>
      </c>
      <c r="AA68" s="18" t="s">
        <v>150</v>
      </c>
      <c r="AB68" s="18">
        <v>1</v>
      </c>
      <c r="AC68" s="20">
        <v>8</v>
      </c>
      <c r="AD68" s="20"/>
    </row>
    <row r="69" spans="2:30">
      <c r="B69" s="18">
        <v>20305</v>
      </c>
      <c r="C69" s="18" t="s">
        <v>176</v>
      </c>
      <c r="D69" s="20"/>
      <c r="E69" s="18">
        <v>5</v>
      </c>
      <c r="F69" s="19" t="str">
        <f t="shared" si="0"/>
        <v>2</v>
      </c>
      <c r="G69" s="18">
        <f>G$5+INT((ROWS(G$5:G68))/10)</f>
        <v>7</v>
      </c>
      <c r="H69" s="20"/>
      <c r="I69" s="18">
        <v>115</v>
      </c>
      <c r="J69" s="18">
        <v>9</v>
      </c>
      <c r="K69" s="18" t="s">
        <v>120</v>
      </c>
      <c r="L69" s="18">
        <v>3</v>
      </c>
      <c r="M69" s="18" t="str">
        <f t="shared" si="1"/>
        <v>203</v>
      </c>
      <c r="N69" s="18">
        <v>-1</v>
      </c>
      <c r="O69" s="18">
        <v>-1</v>
      </c>
      <c r="P69" s="18" t="s">
        <v>186</v>
      </c>
      <c r="Q69" s="18" t="s">
        <v>157</v>
      </c>
      <c r="R69" s="20"/>
      <c r="S69" s="18">
        <v>300</v>
      </c>
      <c r="T69" s="20" t="s">
        <v>179</v>
      </c>
      <c r="U69" s="18" t="s">
        <v>180</v>
      </c>
      <c r="V69" s="18"/>
      <c r="W69" s="18">
        <v>2</v>
      </c>
      <c r="X69" s="18" t="s">
        <v>92</v>
      </c>
      <c r="Y69" s="7" t="s">
        <v>161</v>
      </c>
      <c r="Z69" s="7">
        <v>15</v>
      </c>
      <c r="AA69" s="18" t="s">
        <v>150</v>
      </c>
      <c r="AB69" s="18">
        <v>1</v>
      </c>
      <c r="AC69" s="20">
        <v>10</v>
      </c>
      <c r="AD69" s="20"/>
    </row>
    <row r="70" spans="2:30">
      <c r="B70" s="18">
        <v>20306</v>
      </c>
      <c r="C70" s="18" t="s">
        <v>176</v>
      </c>
      <c r="D70" s="20"/>
      <c r="E70" s="18">
        <v>6</v>
      </c>
      <c r="F70" s="19" t="str">
        <f t="shared" si="0"/>
        <v>2</v>
      </c>
      <c r="G70" s="18">
        <f>G$5+INT((ROWS(G$5:G69))/10)</f>
        <v>7</v>
      </c>
      <c r="H70" s="20"/>
      <c r="I70" s="18">
        <v>155</v>
      </c>
      <c r="J70" s="18">
        <v>12</v>
      </c>
      <c r="K70" s="18" t="s">
        <v>120</v>
      </c>
      <c r="L70" s="18">
        <v>3</v>
      </c>
      <c r="M70" s="18" t="str">
        <f t="shared" si="1"/>
        <v>203</v>
      </c>
      <c r="N70" s="18">
        <v>-1</v>
      </c>
      <c r="O70" s="18">
        <v>-1</v>
      </c>
      <c r="P70" s="18" t="s">
        <v>187</v>
      </c>
      <c r="Q70" s="18" t="s">
        <v>188</v>
      </c>
      <c r="R70" s="20"/>
      <c r="S70" s="18">
        <v>300</v>
      </c>
      <c r="T70" s="20" t="s">
        <v>179</v>
      </c>
      <c r="U70" s="18" t="s">
        <v>180</v>
      </c>
      <c r="V70" s="18"/>
      <c r="W70" s="18">
        <v>2</v>
      </c>
      <c r="X70" s="18" t="s">
        <v>92</v>
      </c>
      <c r="Y70" s="7" t="s">
        <v>164</v>
      </c>
      <c r="Z70" s="7">
        <v>20</v>
      </c>
      <c r="AA70" s="18" t="s">
        <v>150</v>
      </c>
      <c r="AB70" s="18">
        <v>1</v>
      </c>
      <c r="AC70" s="20">
        <v>12</v>
      </c>
      <c r="AD70" s="20"/>
    </row>
    <row r="71" spans="2:30">
      <c r="B71" s="18">
        <v>20307</v>
      </c>
      <c r="C71" s="18" t="s">
        <v>176</v>
      </c>
      <c r="D71" s="20"/>
      <c r="E71" s="18">
        <v>7</v>
      </c>
      <c r="F71" s="19" t="str">
        <f t="shared" si="0"/>
        <v>2</v>
      </c>
      <c r="G71" s="18">
        <f>G$5+INT((ROWS(G$5:G70))/10)</f>
        <v>7</v>
      </c>
      <c r="H71" s="20"/>
      <c r="I71" s="18">
        <v>208</v>
      </c>
      <c r="J71" s="18">
        <v>12</v>
      </c>
      <c r="K71" s="18" t="s">
        <v>120</v>
      </c>
      <c r="L71" s="18">
        <v>3</v>
      </c>
      <c r="M71" s="18" t="str">
        <f t="shared" si="1"/>
        <v>203</v>
      </c>
      <c r="N71" s="18">
        <v>-1</v>
      </c>
      <c r="O71" s="18">
        <v>-1</v>
      </c>
      <c r="P71" s="18" t="s">
        <v>189</v>
      </c>
      <c r="Q71" s="18" t="s">
        <v>190</v>
      </c>
      <c r="R71" s="20"/>
      <c r="S71" s="18">
        <v>300</v>
      </c>
      <c r="T71" s="20" t="s">
        <v>179</v>
      </c>
      <c r="U71" s="18" t="s">
        <v>180</v>
      </c>
      <c r="V71" s="18"/>
      <c r="W71" s="18">
        <v>2</v>
      </c>
      <c r="X71" s="18" t="s">
        <v>92</v>
      </c>
      <c r="Y71" s="7" t="s">
        <v>167</v>
      </c>
      <c r="Z71" s="7">
        <v>25</v>
      </c>
      <c r="AA71" s="18" t="s">
        <v>150</v>
      </c>
      <c r="AB71" s="18">
        <v>1</v>
      </c>
      <c r="AC71" s="20">
        <v>14</v>
      </c>
      <c r="AD71" s="20"/>
    </row>
    <row r="72" spans="2:30">
      <c r="B72" s="18">
        <v>20308</v>
      </c>
      <c r="C72" s="18" t="s">
        <v>176</v>
      </c>
      <c r="D72" s="20"/>
      <c r="E72" s="18">
        <v>8</v>
      </c>
      <c r="F72" s="19" t="str">
        <f t="shared" si="0"/>
        <v>2</v>
      </c>
      <c r="G72" s="18">
        <f>G$5+INT((ROWS(G$5:G71))/10)</f>
        <v>7</v>
      </c>
      <c r="H72" s="20"/>
      <c r="I72" s="18">
        <v>224</v>
      </c>
      <c r="J72" s="18">
        <v>13</v>
      </c>
      <c r="K72" s="18" t="s">
        <v>120</v>
      </c>
      <c r="L72" s="18">
        <v>3</v>
      </c>
      <c r="M72" s="18" t="str">
        <f t="shared" si="1"/>
        <v>203</v>
      </c>
      <c r="N72" s="18">
        <v>-1</v>
      </c>
      <c r="O72" s="18">
        <v>-1</v>
      </c>
      <c r="P72" s="18" t="s">
        <v>191</v>
      </c>
      <c r="Q72" s="18" t="s">
        <v>162</v>
      </c>
      <c r="R72" s="20"/>
      <c r="S72" s="18">
        <v>300</v>
      </c>
      <c r="T72" s="20" t="s">
        <v>179</v>
      </c>
      <c r="U72" s="18" t="s">
        <v>180</v>
      </c>
      <c r="V72" s="18"/>
      <c r="W72" s="18">
        <v>2</v>
      </c>
      <c r="X72" s="18" t="s">
        <v>92</v>
      </c>
      <c r="Y72" s="7" t="s">
        <v>169</v>
      </c>
      <c r="Z72" s="7">
        <v>30</v>
      </c>
      <c r="AA72" s="18" t="s">
        <v>150</v>
      </c>
      <c r="AB72" s="18">
        <v>1</v>
      </c>
      <c r="AC72" s="20">
        <v>16</v>
      </c>
      <c r="AD72" s="20"/>
    </row>
    <row r="73" spans="2:30">
      <c r="B73" s="18">
        <v>20309</v>
      </c>
      <c r="C73" s="18" t="s">
        <v>176</v>
      </c>
      <c r="D73" s="20"/>
      <c r="E73" s="18">
        <v>9</v>
      </c>
      <c r="F73" s="19" t="str">
        <f t="shared" si="0"/>
        <v>2</v>
      </c>
      <c r="G73" s="18">
        <f>G$5+INT((ROWS(G$5:G72))/10)</f>
        <v>7</v>
      </c>
      <c r="H73" s="20"/>
      <c r="I73" s="18">
        <v>269</v>
      </c>
      <c r="J73" s="18">
        <v>16</v>
      </c>
      <c r="K73" s="18" t="s">
        <v>120</v>
      </c>
      <c r="L73" s="18">
        <v>3</v>
      </c>
      <c r="M73" s="18" t="str">
        <f t="shared" si="1"/>
        <v>203</v>
      </c>
      <c r="N73" s="18">
        <v>-1</v>
      </c>
      <c r="O73" s="18">
        <v>-1</v>
      </c>
      <c r="P73" s="18" t="s">
        <v>192</v>
      </c>
      <c r="Q73" s="18" t="s">
        <v>193</v>
      </c>
      <c r="R73" s="20"/>
      <c r="S73" s="18">
        <v>300</v>
      </c>
      <c r="T73" s="20" t="s">
        <v>179</v>
      </c>
      <c r="U73" s="18" t="s">
        <v>180</v>
      </c>
      <c r="V73" s="18"/>
      <c r="W73" s="18">
        <v>2</v>
      </c>
      <c r="X73" s="18" t="s">
        <v>92</v>
      </c>
      <c r="Y73" s="7" t="s">
        <v>172</v>
      </c>
      <c r="Z73" s="7">
        <v>35</v>
      </c>
      <c r="AA73" s="18" t="s">
        <v>150</v>
      </c>
      <c r="AB73" s="18">
        <v>1</v>
      </c>
      <c r="AC73" s="20">
        <v>18</v>
      </c>
      <c r="AD73" s="20"/>
    </row>
    <row r="74" spans="2:30">
      <c r="B74" s="18">
        <v>20310</v>
      </c>
      <c r="C74" s="18" t="s">
        <v>176</v>
      </c>
      <c r="D74" s="20"/>
      <c r="E74" s="18">
        <v>10</v>
      </c>
      <c r="F74" s="19" t="str">
        <f t="shared" si="0"/>
        <v>2</v>
      </c>
      <c r="G74" s="18">
        <f>G$5+INT((ROWS(G$5:G73))/10)</f>
        <v>7</v>
      </c>
      <c r="H74" s="20"/>
      <c r="I74" s="18">
        <v>329</v>
      </c>
      <c r="J74" s="18">
        <v>17</v>
      </c>
      <c r="K74" s="18" t="s">
        <v>120</v>
      </c>
      <c r="L74" s="18">
        <v>3</v>
      </c>
      <c r="M74" s="18" t="str">
        <f t="shared" si="1"/>
        <v>203</v>
      </c>
      <c r="N74" s="18">
        <v>-1</v>
      </c>
      <c r="O74" s="18">
        <v>-1</v>
      </c>
      <c r="P74" s="18" t="s">
        <v>194</v>
      </c>
      <c r="Q74" s="18" t="s">
        <v>195</v>
      </c>
      <c r="R74" s="20"/>
      <c r="S74" s="18">
        <v>300</v>
      </c>
      <c r="T74" s="20" t="s">
        <v>179</v>
      </c>
      <c r="U74" s="18" t="s">
        <v>180</v>
      </c>
      <c r="V74" s="18"/>
      <c r="W74" s="18">
        <v>2</v>
      </c>
      <c r="X74" s="18" t="s">
        <v>92</v>
      </c>
      <c r="Y74" s="7" t="s">
        <v>175</v>
      </c>
      <c r="Z74" s="7">
        <v>40</v>
      </c>
      <c r="AA74" s="18" t="s">
        <v>150</v>
      </c>
      <c r="AB74" s="18">
        <v>1</v>
      </c>
      <c r="AC74" s="20">
        <v>20</v>
      </c>
      <c r="AD74" s="20"/>
    </row>
    <row r="75" spans="2:30">
      <c r="B75" s="18">
        <v>30101</v>
      </c>
      <c r="C75" s="18" t="s">
        <v>196</v>
      </c>
      <c r="D75" s="20"/>
      <c r="E75" s="18">
        <v>1</v>
      </c>
      <c r="F75" s="19" t="str">
        <f t="shared" si="0"/>
        <v>3</v>
      </c>
      <c r="G75" s="18">
        <f>G$5+INT((ROWS(G$5:G74))/10)</f>
        <v>8</v>
      </c>
      <c r="H75" s="20"/>
      <c r="I75" s="18">
        <v>6</v>
      </c>
      <c r="J75" s="18">
        <v>3</v>
      </c>
      <c r="K75" s="18" t="s">
        <v>120</v>
      </c>
      <c r="L75" s="18">
        <v>3</v>
      </c>
      <c r="M75" s="18" t="str">
        <f t="shared" si="1"/>
        <v>301</v>
      </c>
      <c r="N75" s="18">
        <v>-1</v>
      </c>
      <c r="O75" s="18">
        <v>-1</v>
      </c>
      <c r="P75" s="20" t="s">
        <v>197</v>
      </c>
      <c r="Q75" s="20"/>
      <c r="R75" s="20">
        <v>21600</v>
      </c>
      <c r="S75" s="18">
        <v>300</v>
      </c>
      <c r="T75" s="20" t="s">
        <v>198</v>
      </c>
      <c r="U75" s="18" t="s">
        <v>199</v>
      </c>
      <c r="V75" s="18"/>
      <c r="W75" s="18">
        <v>2</v>
      </c>
      <c r="X75" s="18" t="s">
        <v>92</v>
      </c>
      <c r="Y75" s="7" t="s">
        <v>124</v>
      </c>
      <c r="Z75" s="6">
        <v>1</v>
      </c>
      <c r="AA75" s="18" t="s">
        <v>125</v>
      </c>
      <c r="AB75" s="18">
        <v>1</v>
      </c>
      <c r="AC75" s="20">
        <v>2</v>
      </c>
      <c r="AD75" s="20"/>
    </row>
    <row r="76" spans="2:30">
      <c r="B76" s="18">
        <v>30102</v>
      </c>
      <c r="C76" s="18" t="s">
        <v>196</v>
      </c>
      <c r="D76" s="20"/>
      <c r="E76" s="18">
        <v>2</v>
      </c>
      <c r="F76" s="19" t="str">
        <f t="shared" si="0"/>
        <v>3</v>
      </c>
      <c r="G76" s="18">
        <f>G$5+INT((ROWS(G$5:G75))/10)</f>
        <v>8</v>
      </c>
      <c r="H76" s="20"/>
      <c r="I76" s="18">
        <v>17</v>
      </c>
      <c r="J76" s="18">
        <v>3</v>
      </c>
      <c r="K76" s="18" t="s">
        <v>120</v>
      </c>
      <c r="L76" s="18">
        <v>3</v>
      </c>
      <c r="M76" s="18" t="str">
        <f t="shared" si="1"/>
        <v>301</v>
      </c>
      <c r="N76" s="18">
        <v>-1</v>
      </c>
      <c r="O76" s="18">
        <v>-1</v>
      </c>
      <c r="P76" s="20" t="s">
        <v>200</v>
      </c>
      <c r="Q76" s="20"/>
      <c r="R76" s="20">
        <v>27504</v>
      </c>
      <c r="S76" s="18">
        <v>300</v>
      </c>
      <c r="T76" s="20" t="s">
        <v>198</v>
      </c>
      <c r="U76" s="18" t="s">
        <v>199</v>
      </c>
      <c r="V76" s="18"/>
      <c r="W76" s="18">
        <v>2</v>
      </c>
      <c r="X76" s="18" t="s">
        <v>92</v>
      </c>
      <c r="Y76" s="7" t="s">
        <v>127</v>
      </c>
      <c r="Z76" s="7">
        <v>3</v>
      </c>
      <c r="AA76" s="18" t="s">
        <v>125</v>
      </c>
      <c r="AB76" s="18">
        <v>1</v>
      </c>
      <c r="AC76" s="20">
        <v>4</v>
      </c>
      <c r="AD76" s="20"/>
    </row>
    <row r="77" spans="2:30">
      <c r="B77" s="18">
        <v>30103</v>
      </c>
      <c r="C77" s="18" t="s">
        <v>196</v>
      </c>
      <c r="D77" s="20"/>
      <c r="E77" s="18">
        <v>3</v>
      </c>
      <c r="F77" s="19" t="str">
        <f t="shared" si="0"/>
        <v>3</v>
      </c>
      <c r="G77" s="18">
        <f>G$5+INT((ROWS(G$5:G76))/10)</f>
        <v>8</v>
      </c>
      <c r="H77" s="20"/>
      <c r="I77" s="18">
        <v>36</v>
      </c>
      <c r="J77" s="18">
        <v>5</v>
      </c>
      <c r="K77" s="18" t="s">
        <v>120</v>
      </c>
      <c r="L77" s="18">
        <v>3</v>
      </c>
      <c r="M77" s="18" t="str">
        <f t="shared" si="1"/>
        <v>301</v>
      </c>
      <c r="N77" s="18">
        <v>-1</v>
      </c>
      <c r="O77" s="18">
        <v>-1</v>
      </c>
      <c r="P77" s="20" t="s">
        <v>201</v>
      </c>
      <c r="Q77" s="20"/>
      <c r="R77" s="20">
        <v>33264</v>
      </c>
      <c r="S77" s="18">
        <v>300</v>
      </c>
      <c r="T77" s="20" t="s">
        <v>198</v>
      </c>
      <c r="U77" s="18" t="s">
        <v>199</v>
      </c>
      <c r="V77" s="18"/>
      <c r="W77" s="18">
        <v>2</v>
      </c>
      <c r="X77" s="18" t="s">
        <v>92</v>
      </c>
      <c r="Y77" s="7" t="s">
        <v>129</v>
      </c>
      <c r="Z77" s="7">
        <v>5</v>
      </c>
      <c r="AA77" s="18" t="s">
        <v>125</v>
      </c>
      <c r="AB77" s="18">
        <v>1</v>
      </c>
      <c r="AC77" s="20">
        <v>6</v>
      </c>
      <c r="AD77" s="20"/>
    </row>
    <row r="78" spans="2:30">
      <c r="B78" s="18">
        <v>30104</v>
      </c>
      <c r="C78" s="18" t="s">
        <v>196</v>
      </c>
      <c r="D78" s="20"/>
      <c r="E78" s="18">
        <v>4</v>
      </c>
      <c r="F78" s="19" t="str">
        <f t="shared" si="0"/>
        <v>3</v>
      </c>
      <c r="G78" s="18">
        <f>G$5+INT((ROWS(G$5:G77))/10)</f>
        <v>8</v>
      </c>
      <c r="H78" s="20"/>
      <c r="I78" s="18">
        <v>64</v>
      </c>
      <c r="J78" s="18">
        <v>5</v>
      </c>
      <c r="K78" s="18" t="s">
        <v>120</v>
      </c>
      <c r="L78" s="18">
        <v>3</v>
      </c>
      <c r="M78" s="18" t="str">
        <f t="shared" si="1"/>
        <v>301</v>
      </c>
      <c r="N78" s="18">
        <v>-1</v>
      </c>
      <c r="O78" s="18">
        <v>-1</v>
      </c>
      <c r="P78" s="20" t="s">
        <v>202</v>
      </c>
      <c r="Q78" s="20"/>
      <c r="R78" s="20">
        <v>38880</v>
      </c>
      <c r="S78" s="18">
        <v>300</v>
      </c>
      <c r="T78" s="20" t="s">
        <v>198</v>
      </c>
      <c r="U78" s="18" t="s">
        <v>199</v>
      </c>
      <c r="V78" s="18"/>
      <c r="W78" s="18">
        <v>2</v>
      </c>
      <c r="X78" s="18" t="s">
        <v>92</v>
      </c>
      <c r="Y78" s="7" t="s">
        <v>131</v>
      </c>
      <c r="Z78" s="7">
        <v>10</v>
      </c>
      <c r="AA78" s="18" t="s">
        <v>125</v>
      </c>
      <c r="AB78" s="18">
        <v>1</v>
      </c>
      <c r="AC78" s="20">
        <v>8</v>
      </c>
      <c r="AD78" s="20"/>
    </row>
    <row r="79" spans="2:30">
      <c r="B79" s="18">
        <v>30105</v>
      </c>
      <c r="C79" s="18" t="s">
        <v>196</v>
      </c>
      <c r="D79" s="20"/>
      <c r="E79" s="18">
        <v>5</v>
      </c>
      <c r="F79" s="19" t="str">
        <f t="shared" si="0"/>
        <v>3</v>
      </c>
      <c r="G79" s="18">
        <f>G$5+INT((ROWS(G$5:G78))/10)</f>
        <v>8</v>
      </c>
      <c r="H79" s="20"/>
      <c r="I79" s="18">
        <v>77</v>
      </c>
      <c r="J79" s="18">
        <v>6</v>
      </c>
      <c r="K79" s="18" t="s">
        <v>120</v>
      </c>
      <c r="L79" s="18">
        <v>3</v>
      </c>
      <c r="M79" s="18" t="str">
        <f t="shared" si="1"/>
        <v>301</v>
      </c>
      <c r="N79" s="18">
        <v>-1</v>
      </c>
      <c r="O79" s="18">
        <v>-1</v>
      </c>
      <c r="P79" s="20" t="s">
        <v>203</v>
      </c>
      <c r="Q79" s="20"/>
      <c r="R79" s="20">
        <v>44640</v>
      </c>
      <c r="S79" s="18">
        <v>300</v>
      </c>
      <c r="T79" s="20" t="s">
        <v>198</v>
      </c>
      <c r="U79" s="18" t="s">
        <v>199</v>
      </c>
      <c r="V79" s="18"/>
      <c r="W79" s="18">
        <v>2</v>
      </c>
      <c r="X79" s="18" t="s">
        <v>92</v>
      </c>
      <c r="Y79" s="7" t="s">
        <v>133</v>
      </c>
      <c r="Z79" s="7">
        <v>15</v>
      </c>
      <c r="AA79" s="18" t="s">
        <v>125</v>
      </c>
      <c r="AB79" s="18">
        <v>1</v>
      </c>
      <c r="AC79" s="20">
        <v>10</v>
      </c>
      <c r="AD79" s="20"/>
    </row>
    <row r="80" spans="2:30">
      <c r="B80" s="18">
        <v>30106</v>
      </c>
      <c r="C80" s="18" t="s">
        <v>196</v>
      </c>
      <c r="D80" s="20"/>
      <c r="E80" s="18">
        <v>6</v>
      </c>
      <c r="F80" s="19" t="str">
        <f t="shared" ref="F80:F143" si="2">LEFT(TEXT(B80,"0"),1)</f>
        <v>3</v>
      </c>
      <c r="G80" s="18">
        <f>G$5+INT((ROWS(G$5:G79))/10)</f>
        <v>8</v>
      </c>
      <c r="H80" s="20"/>
      <c r="I80" s="18">
        <v>103</v>
      </c>
      <c r="J80" s="18">
        <v>8</v>
      </c>
      <c r="K80" s="18" t="s">
        <v>120</v>
      </c>
      <c r="L80" s="18">
        <v>3</v>
      </c>
      <c r="M80" s="18" t="str">
        <f t="shared" si="1"/>
        <v>301</v>
      </c>
      <c r="N80" s="18">
        <v>-1</v>
      </c>
      <c r="O80" s="18">
        <v>-1</v>
      </c>
      <c r="P80" s="20" t="s">
        <v>204</v>
      </c>
      <c r="Q80" s="20"/>
      <c r="R80" s="20">
        <v>50544</v>
      </c>
      <c r="S80" s="18">
        <v>300</v>
      </c>
      <c r="T80" s="20" t="s">
        <v>198</v>
      </c>
      <c r="U80" s="18" t="s">
        <v>199</v>
      </c>
      <c r="V80" s="18"/>
      <c r="W80" s="18">
        <v>2</v>
      </c>
      <c r="X80" s="18" t="s">
        <v>92</v>
      </c>
      <c r="Y80" s="7" t="s">
        <v>135</v>
      </c>
      <c r="Z80" s="7">
        <v>20</v>
      </c>
      <c r="AA80" s="18" t="s">
        <v>125</v>
      </c>
      <c r="AB80" s="18">
        <v>1</v>
      </c>
      <c r="AC80" s="20">
        <v>12</v>
      </c>
      <c r="AD80" s="20"/>
    </row>
    <row r="81" spans="2:30">
      <c r="B81" s="18">
        <v>30107</v>
      </c>
      <c r="C81" s="18" t="s">
        <v>196</v>
      </c>
      <c r="D81" s="20"/>
      <c r="E81" s="18">
        <v>7</v>
      </c>
      <c r="F81" s="19" t="str">
        <f t="shared" si="2"/>
        <v>3</v>
      </c>
      <c r="G81" s="18">
        <f>G$5+INT((ROWS(G$5:G80))/10)</f>
        <v>8</v>
      </c>
      <c r="H81" s="20"/>
      <c r="I81" s="18">
        <v>139</v>
      </c>
      <c r="J81" s="18">
        <v>8</v>
      </c>
      <c r="K81" s="18" t="s">
        <v>120</v>
      </c>
      <c r="L81" s="18">
        <v>3</v>
      </c>
      <c r="M81" s="18" t="str">
        <f t="shared" si="1"/>
        <v>301</v>
      </c>
      <c r="N81" s="18">
        <v>-1</v>
      </c>
      <c r="O81" s="18">
        <v>-1</v>
      </c>
      <c r="P81" s="20" t="s">
        <v>205</v>
      </c>
      <c r="Q81" s="20"/>
      <c r="R81" s="20">
        <v>56304</v>
      </c>
      <c r="S81" s="18">
        <v>300</v>
      </c>
      <c r="T81" s="20" t="s">
        <v>198</v>
      </c>
      <c r="U81" s="18" t="s">
        <v>199</v>
      </c>
      <c r="V81" s="18"/>
      <c r="W81" s="18">
        <v>2</v>
      </c>
      <c r="X81" s="18" t="s">
        <v>92</v>
      </c>
      <c r="Y81" s="7" t="s">
        <v>137</v>
      </c>
      <c r="Z81" s="7">
        <v>25</v>
      </c>
      <c r="AA81" s="18" t="s">
        <v>125</v>
      </c>
      <c r="AB81" s="18">
        <v>1</v>
      </c>
      <c r="AC81" s="20">
        <v>14</v>
      </c>
      <c r="AD81" s="20"/>
    </row>
    <row r="82" spans="2:30">
      <c r="B82" s="18">
        <v>30108</v>
      </c>
      <c r="C82" s="18" t="s">
        <v>196</v>
      </c>
      <c r="D82" s="20"/>
      <c r="E82" s="18">
        <v>8</v>
      </c>
      <c r="F82" s="19" t="str">
        <f t="shared" si="2"/>
        <v>3</v>
      </c>
      <c r="G82" s="18">
        <f>G$5+INT((ROWS(G$5:G81))/10)</f>
        <v>8</v>
      </c>
      <c r="H82" s="20"/>
      <c r="I82" s="18">
        <v>150</v>
      </c>
      <c r="J82" s="18">
        <v>9</v>
      </c>
      <c r="K82" s="18" t="s">
        <v>120</v>
      </c>
      <c r="L82" s="18">
        <v>3</v>
      </c>
      <c r="M82" s="18" t="str">
        <f t="shared" si="1"/>
        <v>301</v>
      </c>
      <c r="N82" s="18">
        <v>-1</v>
      </c>
      <c r="O82" s="18">
        <v>-1</v>
      </c>
      <c r="P82" s="20" t="s">
        <v>206</v>
      </c>
      <c r="Q82" s="20"/>
      <c r="R82" s="20">
        <v>61920</v>
      </c>
      <c r="S82" s="18">
        <v>300</v>
      </c>
      <c r="T82" s="20" t="s">
        <v>198</v>
      </c>
      <c r="U82" s="18" t="s">
        <v>199</v>
      </c>
      <c r="V82" s="18"/>
      <c r="W82" s="18">
        <v>2</v>
      </c>
      <c r="X82" s="18" t="s">
        <v>92</v>
      </c>
      <c r="Y82" s="7" t="s">
        <v>139</v>
      </c>
      <c r="Z82" s="7">
        <v>30</v>
      </c>
      <c r="AA82" s="18" t="s">
        <v>125</v>
      </c>
      <c r="AB82" s="18">
        <v>1</v>
      </c>
      <c r="AC82" s="20">
        <v>16</v>
      </c>
      <c r="AD82" s="20"/>
    </row>
    <row r="83" spans="2:30">
      <c r="B83" s="18">
        <v>30109</v>
      </c>
      <c r="C83" s="18" t="s">
        <v>196</v>
      </c>
      <c r="D83" s="20"/>
      <c r="E83" s="18">
        <v>9</v>
      </c>
      <c r="F83" s="19" t="str">
        <f t="shared" si="2"/>
        <v>3</v>
      </c>
      <c r="G83" s="18">
        <f>G$5+INT((ROWS(G$5:G82))/10)</f>
        <v>8</v>
      </c>
      <c r="H83" s="20"/>
      <c r="I83" s="18">
        <v>179</v>
      </c>
      <c r="J83" s="18">
        <v>11</v>
      </c>
      <c r="K83" s="18" t="s">
        <v>120</v>
      </c>
      <c r="L83" s="18">
        <v>3</v>
      </c>
      <c r="M83" s="18" t="str">
        <f t="shared" si="1"/>
        <v>301</v>
      </c>
      <c r="N83" s="18">
        <v>-1</v>
      </c>
      <c r="O83" s="18">
        <v>-1</v>
      </c>
      <c r="P83" s="20" t="s">
        <v>207</v>
      </c>
      <c r="Q83" s="20"/>
      <c r="R83" s="20">
        <v>67680</v>
      </c>
      <c r="S83" s="18">
        <v>300</v>
      </c>
      <c r="T83" s="20" t="s">
        <v>198</v>
      </c>
      <c r="U83" s="18" t="s">
        <v>199</v>
      </c>
      <c r="V83" s="18"/>
      <c r="W83" s="18">
        <v>2</v>
      </c>
      <c r="X83" s="18" t="s">
        <v>92</v>
      </c>
      <c r="Y83" s="7" t="s">
        <v>141</v>
      </c>
      <c r="Z83" s="7">
        <v>35</v>
      </c>
      <c r="AA83" s="18" t="s">
        <v>125</v>
      </c>
      <c r="AB83" s="18">
        <v>1</v>
      </c>
      <c r="AC83" s="20">
        <v>18</v>
      </c>
      <c r="AD83" s="20"/>
    </row>
    <row r="84" spans="2:30">
      <c r="B84" s="18">
        <v>30110</v>
      </c>
      <c r="C84" s="18" t="s">
        <v>196</v>
      </c>
      <c r="D84" s="20"/>
      <c r="E84" s="18">
        <v>10</v>
      </c>
      <c r="F84" s="19" t="str">
        <f t="shared" si="2"/>
        <v>3</v>
      </c>
      <c r="G84" s="18">
        <f>G$5+INT((ROWS(G$5:G83))/10)</f>
        <v>8</v>
      </c>
      <c r="H84" s="20"/>
      <c r="I84" s="18">
        <v>219</v>
      </c>
      <c r="J84" s="18">
        <v>11</v>
      </c>
      <c r="K84" s="18" t="s">
        <v>120</v>
      </c>
      <c r="L84" s="18">
        <v>3</v>
      </c>
      <c r="M84" s="18" t="str">
        <f t="shared" si="1"/>
        <v>301</v>
      </c>
      <c r="N84" s="18">
        <v>-1</v>
      </c>
      <c r="O84" s="18">
        <v>-1</v>
      </c>
      <c r="P84" s="20" t="s">
        <v>208</v>
      </c>
      <c r="Q84" s="20"/>
      <c r="R84" s="20">
        <v>73584</v>
      </c>
      <c r="S84" s="18">
        <v>300</v>
      </c>
      <c r="T84" s="20" t="s">
        <v>198</v>
      </c>
      <c r="U84" s="18" t="s">
        <v>199</v>
      </c>
      <c r="V84" s="18"/>
      <c r="W84" s="18">
        <v>2</v>
      </c>
      <c r="X84" s="18" t="s">
        <v>92</v>
      </c>
      <c r="Y84" s="7" t="s">
        <v>143</v>
      </c>
      <c r="Z84" s="7">
        <v>40</v>
      </c>
      <c r="AA84" s="18" t="s">
        <v>125</v>
      </c>
      <c r="AB84" s="18">
        <v>1</v>
      </c>
      <c r="AC84" s="20">
        <v>20</v>
      </c>
      <c r="AD84" s="20"/>
    </row>
    <row r="85" spans="2:30">
      <c r="B85" s="18">
        <v>30201</v>
      </c>
      <c r="C85" s="20" t="s">
        <v>209</v>
      </c>
      <c r="D85" s="20"/>
      <c r="E85" s="18">
        <v>1</v>
      </c>
      <c r="F85" s="19" t="str">
        <f t="shared" si="2"/>
        <v>3</v>
      </c>
      <c r="G85" s="18">
        <f>G$5+INT((ROWS(G$5:G84))/10)</f>
        <v>9</v>
      </c>
      <c r="H85" s="20"/>
      <c r="I85" s="18">
        <v>6</v>
      </c>
      <c r="J85" s="18">
        <v>3</v>
      </c>
      <c r="K85" s="18" t="s">
        <v>120</v>
      </c>
      <c r="L85" s="18">
        <v>3</v>
      </c>
      <c r="M85" s="18" t="str">
        <f t="shared" si="1"/>
        <v>302</v>
      </c>
      <c r="N85" s="18">
        <v>-1</v>
      </c>
      <c r="O85" s="18">
        <v>-1</v>
      </c>
      <c r="P85" s="20" t="s">
        <v>210</v>
      </c>
      <c r="Q85" s="20"/>
      <c r="R85" s="20">
        <v>21600</v>
      </c>
      <c r="S85" s="18">
        <v>300</v>
      </c>
      <c r="T85" s="20" t="s">
        <v>211</v>
      </c>
      <c r="U85" s="18" t="s">
        <v>212</v>
      </c>
      <c r="V85" s="18"/>
      <c r="W85" s="18">
        <v>2</v>
      </c>
      <c r="X85" s="18" t="s">
        <v>92</v>
      </c>
      <c r="Y85" s="7" t="s">
        <v>124</v>
      </c>
      <c r="Z85" s="6">
        <v>1</v>
      </c>
      <c r="AA85" s="18" t="s">
        <v>150</v>
      </c>
      <c r="AB85" s="18">
        <v>1</v>
      </c>
      <c r="AC85" s="20">
        <v>2</v>
      </c>
      <c r="AD85" s="20"/>
    </row>
    <row r="86" spans="2:30">
      <c r="B86" s="18">
        <v>30202</v>
      </c>
      <c r="C86" s="20" t="s">
        <v>209</v>
      </c>
      <c r="D86" s="20"/>
      <c r="E86" s="18">
        <v>2</v>
      </c>
      <c r="F86" s="19" t="str">
        <f t="shared" si="2"/>
        <v>3</v>
      </c>
      <c r="G86" s="18">
        <f>G$5+INT((ROWS(G$5:G85))/10)</f>
        <v>9</v>
      </c>
      <c r="H86" s="20"/>
      <c r="I86" s="18">
        <v>17</v>
      </c>
      <c r="J86" s="18">
        <v>3</v>
      </c>
      <c r="K86" s="18" t="s">
        <v>120</v>
      </c>
      <c r="L86" s="18">
        <v>3</v>
      </c>
      <c r="M86" s="18" t="str">
        <f t="shared" si="1"/>
        <v>302</v>
      </c>
      <c r="N86" s="18">
        <v>-1</v>
      </c>
      <c r="O86" s="18">
        <v>-1</v>
      </c>
      <c r="P86" s="20" t="s">
        <v>213</v>
      </c>
      <c r="Q86" s="20"/>
      <c r="R86" s="20">
        <v>25920</v>
      </c>
      <c r="S86" s="18">
        <v>300</v>
      </c>
      <c r="T86" s="20" t="s">
        <v>211</v>
      </c>
      <c r="U86" s="18" t="s">
        <v>212</v>
      </c>
      <c r="V86" s="18"/>
      <c r="W86" s="18">
        <v>2</v>
      </c>
      <c r="X86" s="18" t="s">
        <v>92</v>
      </c>
      <c r="Y86" s="7" t="s">
        <v>127</v>
      </c>
      <c r="Z86" s="7">
        <v>3</v>
      </c>
      <c r="AA86" s="18" t="s">
        <v>150</v>
      </c>
      <c r="AB86" s="18">
        <v>1</v>
      </c>
      <c r="AC86" s="20">
        <v>4</v>
      </c>
      <c r="AD86" s="20"/>
    </row>
    <row r="87" spans="2:30">
      <c r="B87" s="18">
        <v>30203</v>
      </c>
      <c r="C87" s="20" t="s">
        <v>209</v>
      </c>
      <c r="D87" s="20"/>
      <c r="E87" s="18">
        <v>3</v>
      </c>
      <c r="F87" s="19" t="str">
        <f t="shared" si="2"/>
        <v>3</v>
      </c>
      <c r="G87" s="18">
        <f>G$5+INT((ROWS(G$5:G86))/10)</f>
        <v>9</v>
      </c>
      <c r="H87" s="20"/>
      <c r="I87" s="18">
        <v>36</v>
      </c>
      <c r="J87" s="18">
        <v>5</v>
      </c>
      <c r="K87" s="18" t="s">
        <v>120</v>
      </c>
      <c r="L87" s="18">
        <v>3</v>
      </c>
      <c r="M87" s="18" t="str">
        <f t="shared" si="1"/>
        <v>302</v>
      </c>
      <c r="N87" s="18">
        <v>-1</v>
      </c>
      <c r="O87" s="18">
        <v>-1</v>
      </c>
      <c r="P87" s="20" t="s">
        <v>214</v>
      </c>
      <c r="Q87" s="20"/>
      <c r="R87" s="20">
        <v>30240</v>
      </c>
      <c r="S87" s="18">
        <v>300</v>
      </c>
      <c r="T87" s="20" t="s">
        <v>211</v>
      </c>
      <c r="U87" s="18" t="s">
        <v>212</v>
      </c>
      <c r="V87" s="18"/>
      <c r="W87" s="18">
        <v>2</v>
      </c>
      <c r="X87" s="18" t="s">
        <v>92</v>
      </c>
      <c r="Y87" s="7" t="s">
        <v>129</v>
      </c>
      <c r="Z87" s="7">
        <v>5</v>
      </c>
      <c r="AA87" s="18" t="s">
        <v>150</v>
      </c>
      <c r="AB87" s="18">
        <v>1</v>
      </c>
      <c r="AC87" s="20">
        <v>6</v>
      </c>
      <c r="AD87" s="20"/>
    </row>
    <row r="88" spans="2:30">
      <c r="B88" s="18">
        <v>30204</v>
      </c>
      <c r="C88" s="20" t="s">
        <v>209</v>
      </c>
      <c r="D88" s="20"/>
      <c r="E88" s="18">
        <v>4</v>
      </c>
      <c r="F88" s="19" t="str">
        <f t="shared" si="2"/>
        <v>3</v>
      </c>
      <c r="G88" s="18">
        <f>G$5+INT((ROWS(G$5:G87))/10)</f>
        <v>9</v>
      </c>
      <c r="H88" s="20"/>
      <c r="I88" s="18">
        <v>64</v>
      </c>
      <c r="J88" s="18">
        <v>5</v>
      </c>
      <c r="K88" s="18" t="s">
        <v>120</v>
      </c>
      <c r="L88" s="18">
        <v>3</v>
      </c>
      <c r="M88" s="18" t="str">
        <f t="shared" si="1"/>
        <v>302</v>
      </c>
      <c r="N88" s="18">
        <v>-1</v>
      </c>
      <c r="O88" s="18">
        <v>-1</v>
      </c>
      <c r="P88" s="20" t="s">
        <v>215</v>
      </c>
      <c r="Q88" s="20"/>
      <c r="R88" s="20">
        <v>34560</v>
      </c>
      <c r="S88" s="18">
        <v>300</v>
      </c>
      <c r="T88" s="20" t="s">
        <v>211</v>
      </c>
      <c r="U88" s="18" t="s">
        <v>212</v>
      </c>
      <c r="V88" s="18"/>
      <c r="W88" s="18">
        <v>2</v>
      </c>
      <c r="X88" s="18" t="s">
        <v>92</v>
      </c>
      <c r="Y88" s="7" t="s">
        <v>131</v>
      </c>
      <c r="Z88" s="7">
        <v>10</v>
      </c>
      <c r="AA88" s="18" t="s">
        <v>150</v>
      </c>
      <c r="AB88" s="18">
        <v>1</v>
      </c>
      <c r="AC88" s="20">
        <v>8</v>
      </c>
      <c r="AD88" s="20"/>
    </row>
    <row r="89" spans="2:30">
      <c r="B89" s="18">
        <v>30205</v>
      </c>
      <c r="C89" s="20" t="s">
        <v>209</v>
      </c>
      <c r="D89" s="20"/>
      <c r="E89" s="18">
        <v>5</v>
      </c>
      <c r="F89" s="19" t="str">
        <f t="shared" si="2"/>
        <v>3</v>
      </c>
      <c r="G89" s="18">
        <f>G$5+INT((ROWS(G$5:G88))/10)</f>
        <v>9</v>
      </c>
      <c r="H89" s="20"/>
      <c r="I89" s="18">
        <v>77</v>
      </c>
      <c r="J89" s="18">
        <v>6</v>
      </c>
      <c r="K89" s="18" t="s">
        <v>120</v>
      </c>
      <c r="L89" s="18">
        <v>3</v>
      </c>
      <c r="M89" s="18" t="str">
        <f t="shared" si="1"/>
        <v>302</v>
      </c>
      <c r="N89" s="18">
        <v>-1</v>
      </c>
      <c r="O89" s="18">
        <v>-1</v>
      </c>
      <c r="P89" s="20" t="s">
        <v>216</v>
      </c>
      <c r="Q89" s="20"/>
      <c r="R89" s="20">
        <v>38880</v>
      </c>
      <c r="S89" s="18">
        <v>300</v>
      </c>
      <c r="T89" s="20" t="s">
        <v>211</v>
      </c>
      <c r="U89" s="18" t="s">
        <v>212</v>
      </c>
      <c r="V89" s="18"/>
      <c r="W89" s="18">
        <v>2</v>
      </c>
      <c r="X89" s="18" t="s">
        <v>92</v>
      </c>
      <c r="Y89" s="7" t="s">
        <v>133</v>
      </c>
      <c r="Z89" s="7">
        <v>15</v>
      </c>
      <c r="AA89" s="18" t="s">
        <v>150</v>
      </c>
      <c r="AB89" s="18">
        <v>1</v>
      </c>
      <c r="AC89" s="20">
        <v>10</v>
      </c>
      <c r="AD89" s="20"/>
    </row>
    <row r="90" spans="2:30">
      <c r="B90" s="18">
        <v>30206</v>
      </c>
      <c r="C90" s="20" t="s">
        <v>209</v>
      </c>
      <c r="D90" s="20"/>
      <c r="E90" s="18">
        <v>6</v>
      </c>
      <c r="F90" s="19" t="str">
        <f t="shared" si="2"/>
        <v>3</v>
      </c>
      <c r="G90" s="18">
        <f>G$5+INT((ROWS(G$5:G89))/10)</f>
        <v>9</v>
      </c>
      <c r="H90" s="20"/>
      <c r="I90" s="18">
        <v>103</v>
      </c>
      <c r="J90" s="18">
        <v>8</v>
      </c>
      <c r="K90" s="18" t="s">
        <v>120</v>
      </c>
      <c r="L90" s="18">
        <v>3</v>
      </c>
      <c r="M90" s="18" t="str">
        <f t="shared" si="1"/>
        <v>302</v>
      </c>
      <c r="N90" s="18">
        <v>-1</v>
      </c>
      <c r="O90" s="18">
        <v>-1</v>
      </c>
      <c r="P90" s="20" t="s">
        <v>217</v>
      </c>
      <c r="Q90" s="20"/>
      <c r="R90" s="20">
        <v>43200</v>
      </c>
      <c r="S90" s="18">
        <v>300</v>
      </c>
      <c r="T90" s="20" t="s">
        <v>211</v>
      </c>
      <c r="U90" s="18" t="s">
        <v>212</v>
      </c>
      <c r="V90" s="18"/>
      <c r="W90" s="18">
        <v>2</v>
      </c>
      <c r="X90" s="18" t="s">
        <v>92</v>
      </c>
      <c r="Y90" s="7" t="s">
        <v>135</v>
      </c>
      <c r="Z90" s="7">
        <v>20</v>
      </c>
      <c r="AA90" s="18" t="s">
        <v>150</v>
      </c>
      <c r="AB90" s="18">
        <v>1</v>
      </c>
      <c r="AC90" s="20">
        <v>12</v>
      </c>
      <c r="AD90" s="20"/>
    </row>
    <row r="91" spans="2:30">
      <c r="B91" s="18">
        <v>30207</v>
      </c>
      <c r="C91" s="20" t="s">
        <v>209</v>
      </c>
      <c r="D91" s="20"/>
      <c r="E91" s="18">
        <v>7</v>
      </c>
      <c r="F91" s="19" t="str">
        <f t="shared" si="2"/>
        <v>3</v>
      </c>
      <c r="G91" s="18">
        <f>G$5+INT((ROWS(G$5:G90))/10)</f>
        <v>9</v>
      </c>
      <c r="H91" s="20"/>
      <c r="I91" s="18">
        <v>139</v>
      </c>
      <c r="J91" s="18">
        <v>8</v>
      </c>
      <c r="K91" s="18" t="s">
        <v>120</v>
      </c>
      <c r="L91" s="18">
        <v>3</v>
      </c>
      <c r="M91" s="18" t="str">
        <f t="shared" si="1"/>
        <v>302</v>
      </c>
      <c r="N91" s="18">
        <v>-1</v>
      </c>
      <c r="O91" s="18">
        <v>-1</v>
      </c>
      <c r="P91" s="20" t="s">
        <v>218</v>
      </c>
      <c r="Q91" s="20"/>
      <c r="R91" s="20">
        <v>47520</v>
      </c>
      <c r="S91" s="18">
        <v>300</v>
      </c>
      <c r="T91" s="20" t="s">
        <v>211</v>
      </c>
      <c r="U91" s="18" t="s">
        <v>212</v>
      </c>
      <c r="V91" s="18"/>
      <c r="W91" s="18">
        <v>2</v>
      </c>
      <c r="X91" s="18" t="s">
        <v>92</v>
      </c>
      <c r="Y91" s="7" t="s">
        <v>137</v>
      </c>
      <c r="Z91" s="7">
        <v>25</v>
      </c>
      <c r="AA91" s="18" t="s">
        <v>150</v>
      </c>
      <c r="AB91" s="18">
        <v>1</v>
      </c>
      <c r="AC91" s="20">
        <v>14</v>
      </c>
      <c r="AD91" s="20"/>
    </row>
    <row r="92" spans="2:30">
      <c r="B92" s="18">
        <v>30208</v>
      </c>
      <c r="C92" s="20" t="s">
        <v>209</v>
      </c>
      <c r="D92" s="20"/>
      <c r="E92" s="18">
        <v>8</v>
      </c>
      <c r="F92" s="19" t="str">
        <f t="shared" si="2"/>
        <v>3</v>
      </c>
      <c r="G92" s="18">
        <f>G$5+INT((ROWS(G$5:G91))/10)</f>
        <v>9</v>
      </c>
      <c r="H92" s="20"/>
      <c r="I92" s="18">
        <v>150</v>
      </c>
      <c r="J92" s="18">
        <v>9</v>
      </c>
      <c r="K92" s="18" t="s">
        <v>120</v>
      </c>
      <c r="L92" s="18">
        <v>3</v>
      </c>
      <c r="M92" s="18" t="str">
        <f t="shared" si="1"/>
        <v>302</v>
      </c>
      <c r="N92" s="18">
        <v>-1</v>
      </c>
      <c r="O92" s="18">
        <v>-1</v>
      </c>
      <c r="P92" s="20" t="s">
        <v>219</v>
      </c>
      <c r="Q92" s="20"/>
      <c r="R92" s="20">
        <v>51840</v>
      </c>
      <c r="S92" s="18">
        <v>300</v>
      </c>
      <c r="T92" s="20" t="s">
        <v>211</v>
      </c>
      <c r="U92" s="18" t="s">
        <v>212</v>
      </c>
      <c r="V92" s="18"/>
      <c r="W92" s="18">
        <v>2</v>
      </c>
      <c r="X92" s="18" t="s">
        <v>92</v>
      </c>
      <c r="Y92" s="7" t="s">
        <v>139</v>
      </c>
      <c r="Z92" s="7">
        <v>30</v>
      </c>
      <c r="AA92" s="18" t="s">
        <v>150</v>
      </c>
      <c r="AB92" s="18">
        <v>1</v>
      </c>
      <c r="AC92" s="20">
        <v>16</v>
      </c>
      <c r="AD92" s="20"/>
    </row>
    <row r="93" spans="2:30">
      <c r="B93" s="18">
        <v>30209</v>
      </c>
      <c r="C93" s="20" t="s">
        <v>209</v>
      </c>
      <c r="D93" s="20"/>
      <c r="E93" s="18">
        <v>9</v>
      </c>
      <c r="F93" s="19" t="str">
        <f t="shared" si="2"/>
        <v>3</v>
      </c>
      <c r="G93" s="18">
        <f>G$5+INT((ROWS(G$5:G92))/10)</f>
        <v>9</v>
      </c>
      <c r="H93" s="20"/>
      <c r="I93" s="18">
        <v>179</v>
      </c>
      <c r="J93" s="18">
        <v>11</v>
      </c>
      <c r="K93" s="18" t="s">
        <v>120</v>
      </c>
      <c r="L93" s="18">
        <v>3</v>
      </c>
      <c r="M93" s="18" t="str">
        <f t="shared" si="1"/>
        <v>302</v>
      </c>
      <c r="N93" s="18">
        <v>-1</v>
      </c>
      <c r="O93" s="18">
        <v>-1</v>
      </c>
      <c r="P93" s="20" t="s">
        <v>220</v>
      </c>
      <c r="Q93" s="20"/>
      <c r="R93" s="20">
        <v>56160</v>
      </c>
      <c r="S93" s="18">
        <v>300</v>
      </c>
      <c r="T93" s="20" t="s">
        <v>211</v>
      </c>
      <c r="U93" s="18" t="s">
        <v>212</v>
      </c>
      <c r="V93" s="18"/>
      <c r="W93" s="18">
        <v>2</v>
      </c>
      <c r="X93" s="18" t="s">
        <v>92</v>
      </c>
      <c r="Y93" s="7" t="s">
        <v>141</v>
      </c>
      <c r="Z93" s="7">
        <v>35</v>
      </c>
      <c r="AA93" s="18" t="s">
        <v>150</v>
      </c>
      <c r="AB93" s="18">
        <v>1</v>
      </c>
      <c r="AC93" s="20">
        <v>18</v>
      </c>
      <c r="AD93" s="20"/>
    </row>
    <row r="94" spans="2:30">
      <c r="B94" s="18">
        <v>30210</v>
      </c>
      <c r="C94" s="20" t="s">
        <v>209</v>
      </c>
      <c r="D94" s="20"/>
      <c r="E94" s="18">
        <v>10</v>
      </c>
      <c r="F94" s="19" t="str">
        <f t="shared" si="2"/>
        <v>3</v>
      </c>
      <c r="G94" s="18">
        <f>G$5+INT((ROWS(G$5:G93))/10)</f>
        <v>9</v>
      </c>
      <c r="H94" s="20"/>
      <c r="I94" s="18">
        <v>219</v>
      </c>
      <c r="J94" s="18">
        <v>11</v>
      </c>
      <c r="K94" s="18" t="s">
        <v>120</v>
      </c>
      <c r="L94" s="18">
        <v>3</v>
      </c>
      <c r="M94" s="18" t="str">
        <f t="shared" si="1"/>
        <v>302</v>
      </c>
      <c r="N94" s="18">
        <v>-1</v>
      </c>
      <c r="O94" s="18">
        <v>-1</v>
      </c>
      <c r="P94" s="20" t="s">
        <v>221</v>
      </c>
      <c r="Q94" s="20"/>
      <c r="R94" s="20">
        <v>60480</v>
      </c>
      <c r="S94" s="18">
        <v>300</v>
      </c>
      <c r="T94" s="20" t="s">
        <v>211</v>
      </c>
      <c r="U94" s="18" t="s">
        <v>212</v>
      </c>
      <c r="V94" s="18"/>
      <c r="W94" s="18">
        <v>2</v>
      </c>
      <c r="X94" s="18" t="s">
        <v>92</v>
      </c>
      <c r="Y94" s="7" t="s">
        <v>143</v>
      </c>
      <c r="Z94" s="7">
        <v>40</v>
      </c>
      <c r="AA94" s="18" t="s">
        <v>150</v>
      </c>
      <c r="AB94" s="18">
        <v>1</v>
      </c>
      <c r="AC94" s="20">
        <v>20</v>
      </c>
      <c r="AD94" s="20"/>
    </row>
    <row r="95" spans="2:30">
      <c r="B95" s="18">
        <v>30301</v>
      </c>
      <c r="C95" s="20" t="s">
        <v>222</v>
      </c>
      <c r="D95" s="20"/>
      <c r="E95" s="18">
        <v>1</v>
      </c>
      <c r="F95" s="19" t="str">
        <f t="shared" si="2"/>
        <v>3</v>
      </c>
      <c r="G95" s="18">
        <f>G$5+INT((ROWS(G$5:G94))/10)</f>
        <v>10</v>
      </c>
      <c r="H95" s="20"/>
      <c r="I95" s="18">
        <v>6</v>
      </c>
      <c r="J95" s="18">
        <v>3</v>
      </c>
      <c r="K95" s="18" t="s">
        <v>120</v>
      </c>
      <c r="L95" s="18">
        <v>3</v>
      </c>
      <c r="M95" s="18" t="str">
        <f t="shared" si="1"/>
        <v>303</v>
      </c>
      <c r="N95" s="18">
        <v>-1</v>
      </c>
      <c r="O95" s="18">
        <v>-1</v>
      </c>
      <c r="P95" s="20" t="s">
        <v>223</v>
      </c>
      <c r="Q95" s="20"/>
      <c r="R95" s="20">
        <v>12960</v>
      </c>
      <c r="S95" s="18">
        <v>300</v>
      </c>
      <c r="T95" s="20" t="s">
        <v>224</v>
      </c>
      <c r="U95" s="18" t="s">
        <v>225</v>
      </c>
      <c r="V95" s="18"/>
      <c r="W95" s="18">
        <v>2</v>
      </c>
      <c r="X95" s="18" t="s">
        <v>92</v>
      </c>
      <c r="Y95" s="7" t="s">
        <v>124</v>
      </c>
      <c r="Z95" s="6">
        <v>1</v>
      </c>
      <c r="AA95" s="18" t="s">
        <v>150</v>
      </c>
      <c r="AB95" s="18">
        <v>1</v>
      </c>
      <c r="AC95" s="20">
        <v>2</v>
      </c>
      <c r="AD95" s="20"/>
    </row>
    <row r="96" spans="2:30">
      <c r="B96" s="18">
        <v>30302</v>
      </c>
      <c r="C96" s="20" t="s">
        <v>222</v>
      </c>
      <c r="D96" s="20"/>
      <c r="E96" s="18">
        <v>2</v>
      </c>
      <c r="F96" s="19" t="str">
        <f t="shared" si="2"/>
        <v>3</v>
      </c>
      <c r="G96" s="18">
        <f>G$5+INT((ROWS(G$5:G95))/10)</f>
        <v>10</v>
      </c>
      <c r="H96" s="20"/>
      <c r="I96" s="18">
        <v>17</v>
      </c>
      <c r="J96" s="18">
        <v>3</v>
      </c>
      <c r="K96" s="18" t="s">
        <v>120</v>
      </c>
      <c r="L96" s="18">
        <v>3</v>
      </c>
      <c r="M96" s="18" t="str">
        <f t="shared" si="1"/>
        <v>303</v>
      </c>
      <c r="N96" s="18">
        <v>-1</v>
      </c>
      <c r="O96" s="18">
        <v>-1</v>
      </c>
      <c r="P96" s="20" t="s">
        <v>226</v>
      </c>
      <c r="Q96" s="20"/>
      <c r="R96" s="20">
        <v>15552</v>
      </c>
      <c r="S96" s="18">
        <v>300</v>
      </c>
      <c r="T96" s="20" t="s">
        <v>224</v>
      </c>
      <c r="U96" s="18" t="s">
        <v>225</v>
      </c>
      <c r="V96" s="18"/>
      <c r="W96" s="18">
        <v>2</v>
      </c>
      <c r="X96" s="18" t="s">
        <v>92</v>
      </c>
      <c r="Y96" s="7" t="s">
        <v>127</v>
      </c>
      <c r="Z96" s="7">
        <v>3</v>
      </c>
      <c r="AA96" s="18" t="s">
        <v>150</v>
      </c>
      <c r="AB96" s="18">
        <v>1</v>
      </c>
      <c r="AC96" s="20">
        <v>4</v>
      </c>
      <c r="AD96" s="20"/>
    </row>
    <row r="97" spans="2:30">
      <c r="B97" s="18">
        <v>30303</v>
      </c>
      <c r="C97" s="20" t="s">
        <v>222</v>
      </c>
      <c r="D97" s="20"/>
      <c r="E97" s="18">
        <v>3</v>
      </c>
      <c r="F97" s="19" t="str">
        <f t="shared" si="2"/>
        <v>3</v>
      </c>
      <c r="G97" s="18">
        <f>G$5+INT((ROWS(G$5:G96))/10)</f>
        <v>10</v>
      </c>
      <c r="H97" s="20"/>
      <c r="I97" s="18">
        <v>36</v>
      </c>
      <c r="J97" s="18">
        <v>5</v>
      </c>
      <c r="K97" s="18" t="s">
        <v>120</v>
      </c>
      <c r="L97" s="18">
        <v>3</v>
      </c>
      <c r="M97" s="18" t="str">
        <f t="shared" si="1"/>
        <v>303</v>
      </c>
      <c r="N97" s="18">
        <v>-1</v>
      </c>
      <c r="O97" s="18">
        <v>-1</v>
      </c>
      <c r="P97" s="20" t="s">
        <v>227</v>
      </c>
      <c r="Q97" s="20"/>
      <c r="R97" s="20">
        <v>18144</v>
      </c>
      <c r="S97" s="18">
        <v>300</v>
      </c>
      <c r="T97" s="20" t="s">
        <v>224</v>
      </c>
      <c r="U97" s="18" t="s">
        <v>225</v>
      </c>
      <c r="V97" s="18"/>
      <c r="W97" s="18">
        <v>2</v>
      </c>
      <c r="X97" s="18" t="s">
        <v>92</v>
      </c>
      <c r="Y97" s="7" t="s">
        <v>129</v>
      </c>
      <c r="Z97" s="7">
        <v>5</v>
      </c>
      <c r="AA97" s="18" t="s">
        <v>150</v>
      </c>
      <c r="AB97" s="18">
        <v>1</v>
      </c>
      <c r="AC97" s="20">
        <v>6</v>
      </c>
      <c r="AD97" s="20"/>
    </row>
    <row r="98" spans="2:30">
      <c r="B98" s="18">
        <v>30304</v>
      </c>
      <c r="C98" s="20" t="s">
        <v>222</v>
      </c>
      <c r="D98" s="20"/>
      <c r="E98" s="18">
        <v>4</v>
      </c>
      <c r="F98" s="19" t="str">
        <f t="shared" si="2"/>
        <v>3</v>
      </c>
      <c r="G98" s="18">
        <f>G$5+INT((ROWS(G$5:G97))/10)</f>
        <v>10</v>
      </c>
      <c r="H98" s="20"/>
      <c r="I98" s="18">
        <v>64</v>
      </c>
      <c r="J98" s="18">
        <v>5</v>
      </c>
      <c r="K98" s="18" t="s">
        <v>120</v>
      </c>
      <c r="L98" s="18">
        <v>3</v>
      </c>
      <c r="M98" s="18" t="str">
        <f t="shared" si="1"/>
        <v>303</v>
      </c>
      <c r="N98" s="18">
        <v>-1</v>
      </c>
      <c r="O98" s="18">
        <v>-1</v>
      </c>
      <c r="P98" s="20" t="s">
        <v>228</v>
      </c>
      <c r="Q98" s="20"/>
      <c r="R98" s="20">
        <v>20736</v>
      </c>
      <c r="S98" s="18">
        <v>300</v>
      </c>
      <c r="T98" s="20" t="s">
        <v>224</v>
      </c>
      <c r="U98" s="18" t="s">
        <v>225</v>
      </c>
      <c r="V98" s="18"/>
      <c r="W98" s="18">
        <v>2</v>
      </c>
      <c r="X98" s="18" t="s">
        <v>92</v>
      </c>
      <c r="Y98" s="7" t="s">
        <v>131</v>
      </c>
      <c r="Z98" s="7">
        <v>10</v>
      </c>
      <c r="AA98" s="18" t="s">
        <v>150</v>
      </c>
      <c r="AB98" s="18">
        <v>1</v>
      </c>
      <c r="AC98" s="20">
        <v>8</v>
      </c>
      <c r="AD98" s="20"/>
    </row>
    <row r="99" spans="2:30">
      <c r="B99" s="18">
        <v>30305</v>
      </c>
      <c r="C99" s="20" t="s">
        <v>222</v>
      </c>
      <c r="D99" s="20"/>
      <c r="E99" s="18">
        <v>5</v>
      </c>
      <c r="F99" s="19" t="str">
        <f t="shared" si="2"/>
        <v>3</v>
      </c>
      <c r="G99" s="18">
        <f>G$5+INT((ROWS(G$5:G98))/10)</f>
        <v>10</v>
      </c>
      <c r="H99" s="20"/>
      <c r="I99" s="18">
        <v>77</v>
      </c>
      <c r="J99" s="18">
        <v>6</v>
      </c>
      <c r="K99" s="18" t="s">
        <v>120</v>
      </c>
      <c r="L99" s="18">
        <v>3</v>
      </c>
      <c r="M99" s="18" t="str">
        <f t="shared" si="1"/>
        <v>303</v>
      </c>
      <c r="N99" s="18">
        <v>-1</v>
      </c>
      <c r="O99" s="18">
        <v>-1</v>
      </c>
      <c r="P99" s="20" t="s">
        <v>229</v>
      </c>
      <c r="Q99" s="20"/>
      <c r="R99" s="20">
        <v>23328</v>
      </c>
      <c r="S99" s="18">
        <v>300</v>
      </c>
      <c r="T99" s="20" t="s">
        <v>224</v>
      </c>
      <c r="U99" s="18" t="s">
        <v>225</v>
      </c>
      <c r="V99" s="18"/>
      <c r="W99" s="18">
        <v>2</v>
      </c>
      <c r="X99" s="18" t="s">
        <v>92</v>
      </c>
      <c r="Y99" s="7" t="s">
        <v>133</v>
      </c>
      <c r="Z99" s="7">
        <v>15</v>
      </c>
      <c r="AA99" s="18" t="s">
        <v>150</v>
      </c>
      <c r="AB99" s="18">
        <v>1</v>
      </c>
      <c r="AC99" s="20">
        <v>10</v>
      </c>
      <c r="AD99" s="20"/>
    </row>
    <row r="100" spans="2:30">
      <c r="B100" s="18">
        <v>30306</v>
      </c>
      <c r="C100" s="20" t="s">
        <v>222</v>
      </c>
      <c r="D100" s="20"/>
      <c r="E100" s="18">
        <v>6</v>
      </c>
      <c r="F100" s="19" t="str">
        <f t="shared" si="2"/>
        <v>3</v>
      </c>
      <c r="G100" s="18">
        <f>G$5+INT((ROWS(G$5:G99))/10)</f>
        <v>10</v>
      </c>
      <c r="H100" s="20"/>
      <c r="I100" s="18">
        <v>103</v>
      </c>
      <c r="J100" s="18">
        <v>8</v>
      </c>
      <c r="K100" s="18" t="s">
        <v>120</v>
      </c>
      <c r="L100" s="18">
        <v>3</v>
      </c>
      <c r="M100" s="18" t="str">
        <f t="shared" si="1"/>
        <v>303</v>
      </c>
      <c r="N100" s="18">
        <v>-1</v>
      </c>
      <c r="O100" s="18">
        <v>-1</v>
      </c>
      <c r="P100" s="20" t="s">
        <v>230</v>
      </c>
      <c r="Q100" s="20"/>
      <c r="R100" s="20">
        <v>25920</v>
      </c>
      <c r="S100" s="18">
        <v>300</v>
      </c>
      <c r="T100" s="20" t="s">
        <v>224</v>
      </c>
      <c r="U100" s="18" t="s">
        <v>225</v>
      </c>
      <c r="V100" s="18"/>
      <c r="W100" s="18">
        <v>2</v>
      </c>
      <c r="X100" s="18" t="s">
        <v>92</v>
      </c>
      <c r="Y100" s="7" t="s">
        <v>135</v>
      </c>
      <c r="Z100" s="7">
        <v>20</v>
      </c>
      <c r="AA100" s="18" t="s">
        <v>150</v>
      </c>
      <c r="AB100" s="18">
        <v>1</v>
      </c>
      <c r="AC100" s="20">
        <v>12</v>
      </c>
      <c r="AD100" s="20"/>
    </row>
    <row r="101" spans="2:30">
      <c r="B101" s="18">
        <v>30307</v>
      </c>
      <c r="C101" s="20" t="s">
        <v>222</v>
      </c>
      <c r="D101" s="20"/>
      <c r="E101" s="18">
        <v>7</v>
      </c>
      <c r="F101" s="19" t="str">
        <f t="shared" si="2"/>
        <v>3</v>
      </c>
      <c r="G101" s="18">
        <f>G$5+INT((ROWS(G$5:G100))/10)</f>
        <v>10</v>
      </c>
      <c r="H101" s="20"/>
      <c r="I101" s="18">
        <v>139</v>
      </c>
      <c r="J101" s="18">
        <v>8</v>
      </c>
      <c r="K101" s="18" t="s">
        <v>120</v>
      </c>
      <c r="L101" s="18">
        <v>3</v>
      </c>
      <c r="M101" s="18" t="str">
        <f t="shared" si="1"/>
        <v>303</v>
      </c>
      <c r="N101" s="18">
        <v>-1</v>
      </c>
      <c r="O101" s="18">
        <v>-1</v>
      </c>
      <c r="P101" s="20" t="s">
        <v>231</v>
      </c>
      <c r="Q101" s="20"/>
      <c r="R101" s="20">
        <v>28512</v>
      </c>
      <c r="S101" s="18">
        <v>300</v>
      </c>
      <c r="T101" s="20" t="s">
        <v>224</v>
      </c>
      <c r="U101" s="18" t="s">
        <v>225</v>
      </c>
      <c r="V101" s="18"/>
      <c r="W101" s="18">
        <v>2</v>
      </c>
      <c r="X101" s="18" t="s">
        <v>92</v>
      </c>
      <c r="Y101" s="7" t="s">
        <v>137</v>
      </c>
      <c r="Z101" s="7">
        <v>25</v>
      </c>
      <c r="AA101" s="18" t="s">
        <v>150</v>
      </c>
      <c r="AB101" s="18">
        <v>1</v>
      </c>
      <c r="AC101" s="20">
        <v>14</v>
      </c>
      <c r="AD101" s="20"/>
    </row>
    <row r="102" spans="2:30">
      <c r="B102" s="18">
        <v>30308</v>
      </c>
      <c r="C102" s="20" t="s">
        <v>222</v>
      </c>
      <c r="D102" s="20"/>
      <c r="E102" s="18">
        <v>8</v>
      </c>
      <c r="F102" s="19" t="str">
        <f t="shared" si="2"/>
        <v>3</v>
      </c>
      <c r="G102" s="18">
        <f>G$5+INT((ROWS(G$5:G101))/10)</f>
        <v>10</v>
      </c>
      <c r="H102" s="20"/>
      <c r="I102" s="18">
        <v>150</v>
      </c>
      <c r="J102" s="18">
        <v>9</v>
      </c>
      <c r="K102" s="18" t="s">
        <v>120</v>
      </c>
      <c r="L102" s="18">
        <v>3</v>
      </c>
      <c r="M102" s="18" t="str">
        <f t="shared" si="1"/>
        <v>303</v>
      </c>
      <c r="N102" s="18">
        <v>-1</v>
      </c>
      <c r="O102" s="18">
        <v>-1</v>
      </c>
      <c r="P102" s="20" t="s">
        <v>232</v>
      </c>
      <c r="Q102" s="20"/>
      <c r="R102" s="20">
        <v>31104</v>
      </c>
      <c r="S102" s="18">
        <v>300</v>
      </c>
      <c r="T102" s="20" t="s">
        <v>224</v>
      </c>
      <c r="U102" s="18" t="s">
        <v>225</v>
      </c>
      <c r="V102" s="18"/>
      <c r="W102" s="18">
        <v>2</v>
      </c>
      <c r="X102" s="18" t="s">
        <v>92</v>
      </c>
      <c r="Y102" s="7" t="s">
        <v>139</v>
      </c>
      <c r="Z102" s="7">
        <v>30</v>
      </c>
      <c r="AA102" s="18" t="s">
        <v>150</v>
      </c>
      <c r="AB102" s="18">
        <v>1</v>
      </c>
      <c r="AC102" s="20">
        <v>16</v>
      </c>
      <c r="AD102" s="20"/>
    </row>
    <row r="103" spans="2:30">
      <c r="B103" s="18">
        <v>30309</v>
      </c>
      <c r="C103" s="20" t="s">
        <v>222</v>
      </c>
      <c r="D103" s="20"/>
      <c r="E103" s="18">
        <v>9</v>
      </c>
      <c r="F103" s="19" t="str">
        <f t="shared" si="2"/>
        <v>3</v>
      </c>
      <c r="G103" s="18">
        <f>G$5+INT((ROWS(G$5:G102))/10)</f>
        <v>10</v>
      </c>
      <c r="H103" s="20"/>
      <c r="I103" s="18">
        <v>179</v>
      </c>
      <c r="J103" s="18">
        <v>11</v>
      </c>
      <c r="K103" s="18" t="s">
        <v>120</v>
      </c>
      <c r="L103" s="18">
        <v>3</v>
      </c>
      <c r="M103" s="18" t="str">
        <f t="shared" si="1"/>
        <v>303</v>
      </c>
      <c r="N103" s="18">
        <v>-1</v>
      </c>
      <c r="O103" s="18">
        <v>-1</v>
      </c>
      <c r="P103" s="20" t="s">
        <v>233</v>
      </c>
      <c r="Q103" s="20"/>
      <c r="R103" s="20">
        <v>33696</v>
      </c>
      <c r="S103" s="18">
        <v>300</v>
      </c>
      <c r="T103" s="20" t="s">
        <v>224</v>
      </c>
      <c r="U103" s="18" t="s">
        <v>225</v>
      </c>
      <c r="V103" s="18"/>
      <c r="W103" s="18">
        <v>2</v>
      </c>
      <c r="X103" s="18" t="s">
        <v>92</v>
      </c>
      <c r="Y103" s="7" t="s">
        <v>141</v>
      </c>
      <c r="Z103" s="7">
        <v>35</v>
      </c>
      <c r="AA103" s="18" t="s">
        <v>150</v>
      </c>
      <c r="AB103" s="18">
        <v>1</v>
      </c>
      <c r="AC103" s="20">
        <v>18</v>
      </c>
      <c r="AD103" s="20"/>
    </row>
    <row r="104" spans="2:30">
      <c r="B104" s="18">
        <v>30310</v>
      </c>
      <c r="C104" s="20" t="s">
        <v>222</v>
      </c>
      <c r="D104" s="20"/>
      <c r="E104" s="18">
        <v>10</v>
      </c>
      <c r="F104" s="19" t="str">
        <f t="shared" si="2"/>
        <v>3</v>
      </c>
      <c r="G104" s="18">
        <f>G$5+INT((ROWS(G$5:G103))/10)</f>
        <v>10</v>
      </c>
      <c r="H104" s="20"/>
      <c r="I104" s="18">
        <v>219</v>
      </c>
      <c r="J104" s="18">
        <v>11</v>
      </c>
      <c r="K104" s="18" t="s">
        <v>120</v>
      </c>
      <c r="L104" s="18">
        <v>3</v>
      </c>
      <c r="M104" s="18" t="str">
        <f t="shared" si="1"/>
        <v>303</v>
      </c>
      <c r="N104" s="18">
        <v>-1</v>
      </c>
      <c r="O104" s="18">
        <v>-1</v>
      </c>
      <c r="P104" s="20" t="s">
        <v>234</v>
      </c>
      <c r="Q104" s="20"/>
      <c r="R104" s="20">
        <v>36288</v>
      </c>
      <c r="S104" s="18">
        <v>300</v>
      </c>
      <c r="T104" s="20" t="s">
        <v>224</v>
      </c>
      <c r="U104" s="18" t="s">
        <v>225</v>
      </c>
      <c r="V104" s="18"/>
      <c r="W104" s="18">
        <v>2</v>
      </c>
      <c r="X104" s="18" t="s">
        <v>92</v>
      </c>
      <c r="Y104" s="7" t="s">
        <v>143</v>
      </c>
      <c r="Z104" s="7">
        <v>40</v>
      </c>
      <c r="AA104" s="18" t="s">
        <v>150</v>
      </c>
      <c r="AB104" s="18">
        <v>1</v>
      </c>
      <c r="AC104" s="20">
        <v>20</v>
      </c>
      <c r="AD104" s="20"/>
    </row>
    <row r="105" spans="2:30">
      <c r="B105" s="18">
        <v>30401</v>
      </c>
      <c r="C105" s="20" t="s">
        <v>235</v>
      </c>
      <c r="D105" s="20"/>
      <c r="E105" s="18">
        <v>1</v>
      </c>
      <c r="F105" s="19" t="str">
        <f t="shared" si="2"/>
        <v>3</v>
      </c>
      <c r="G105" s="18">
        <f>G$5+INT((ROWS(G$5:G104))/10)</f>
        <v>11</v>
      </c>
      <c r="H105" s="20"/>
      <c r="I105" s="18">
        <v>6</v>
      </c>
      <c r="J105" s="18">
        <v>3</v>
      </c>
      <c r="K105" s="18" t="s">
        <v>120</v>
      </c>
      <c r="L105" s="18">
        <v>3</v>
      </c>
      <c r="M105" s="18" t="str">
        <f t="shared" si="1"/>
        <v>304</v>
      </c>
      <c r="N105" s="18">
        <v>-1</v>
      </c>
      <c r="O105" s="18">
        <v>-1</v>
      </c>
      <c r="P105" s="20" t="s">
        <v>236</v>
      </c>
      <c r="Q105" s="20"/>
      <c r="R105" s="20">
        <v>25056</v>
      </c>
      <c r="S105" s="18">
        <v>300</v>
      </c>
      <c r="T105" s="20" t="s">
        <v>237</v>
      </c>
      <c r="U105" s="18" t="s">
        <v>238</v>
      </c>
      <c r="V105" s="18"/>
      <c r="W105" s="18">
        <v>2</v>
      </c>
      <c r="X105" s="18" t="s">
        <v>92</v>
      </c>
      <c r="Y105" s="7" t="s">
        <v>124</v>
      </c>
      <c r="Z105" s="6">
        <v>1</v>
      </c>
      <c r="AA105" s="18" t="s">
        <v>150</v>
      </c>
      <c r="AB105" s="18">
        <v>1</v>
      </c>
      <c r="AC105" s="20">
        <v>2</v>
      </c>
      <c r="AD105" s="20"/>
    </row>
    <row r="106" spans="2:30">
      <c r="B106" s="18">
        <v>30402</v>
      </c>
      <c r="C106" s="20" t="s">
        <v>235</v>
      </c>
      <c r="D106" s="20"/>
      <c r="E106" s="18">
        <v>2</v>
      </c>
      <c r="F106" s="19" t="str">
        <f t="shared" si="2"/>
        <v>3</v>
      </c>
      <c r="G106" s="18">
        <f>G$5+INT((ROWS(G$5:G105))/10)</f>
        <v>11</v>
      </c>
      <c r="H106" s="20"/>
      <c r="I106" s="18">
        <v>17</v>
      </c>
      <c r="J106" s="18">
        <v>3</v>
      </c>
      <c r="K106" s="18" t="s">
        <v>120</v>
      </c>
      <c r="L106" s="18">
        <v>3</v>
      </c>
      <c r="M106" s="18" t="str">
        <f t="shared" si="1"/>
        <v>304</v>
      </c>
      <c r="N106" s="18">
        <v>-1</v>
      </c>
      <c r="O106" s="18">
        <v>-1</v>
      </c>
      <c r="P106" s="20" t="s">
        <v>239</v>
      </c>
      <c r="Q106" s="20"/>
      <c r="R106" s="20">
        <v>31824</v>
      </c>
      <c r="S106" s="18">
        <v>300</v>
      </c>
      <c r="T106" s="20" t="s">
        <v>237</v>
      </c>
      <c r="U106" s="18" t="s">
        <v>238</v>
      </c>
      <c r="V106" s="18"/>
      <c r="W106" s="18">
        <v>2</v>
      </c>
      <c r="X106" s="18" t="s">
        <v>92</v>
      </c>
      <c r="Y106" s="7" t="s">
        <v>127</v>
      </c>
      <c r="Z106" s="7">
        <v>3</v>
      </c>
      <c r="AA106" s="18" t="s">
        <v>150</v>
      </c>
      <c r="AB106" s="18">
        <v>1</v>
      </c>
      <c r="AC106" s="20">
        <v>4</v>
      </c>
      <c r="AD106" s="20"/>
    </row>
    <row r="107" spans="2:30">
      <c r="B107" s="18">
        <v>30403</v>
      </c>
      <c r="C107" s="20" t="s">
        <v>235</v>
      </c>
      <c r="D107" s="20"/>
      <c r="E107" s="18">
        <v>3</v>
      </c>
      <c r="F107" s="19" t="str">
        <f t="shared" si="2"/>
        <v>3</v>
      </c>
      <c r="G107" s="18">
        <f>G$5+INT((ROWS(G$5:G106))/10)</f>
        <v>11</v>
      </c>
      <c r="H107" s="20"/>
      <c r="I107" s="18">
        <v>36</v>
      </c>
      <c r="J107" s="18">
        <v>5</v>
      </c>
      <c r="K107" s="18" t="s">
        <v>120</v>
      </c>
      <c r="L107" s="18">
        <v>3</v>
      </c>
      <c r="M107" s="18" t="str">
        <f t="shared" si="1"/>
        <v>304</v>
      </c>
      <c r="N107" s="18">
        <v>-1</v>
      </c>
      <c r="O107" s="18">
        <v>-1</v>
      </c>
      <c r="P107" s="20" t="s">
        <v>240</v>
      </c>
      <c r="Q107" s="20"/>
      <c r="R107" s="20">
        <v>38592</v>
      </c>
      <c r="S107" s="18">
        <v>300</v>
      </c>
      <c r="T107" s="20" t="s">
        <v>237</v>
      </c>
      <c r="U107" s="18" t="s">
        <v>238</v>
      </c>
      <c r="V107" s="18"/>
      <c r="W107" s="18">
        <v>2</v>
      </c>
      <c r="X107" s="18" t="s">
        <v>92</v>
      </c>
      <c r="Y107" s="7" t="s">
        <v>129</v>
      </c>
      <c r="Z107" s="7">
        <v>5</v>
      </c>
      <c r="AA107" s="18" t="s">
        <v>150</v>
      </c>
      <c r="AB107" s="18">
        <v>1</v>
      </c>
      <c r="AC107" s="20">
        <v>6</v>
      </c>
      <c r="AD107" s="20"/>
    </row>
    <row r="108" spans="2:30">
      <c r="B108" s="18">
        <v>30404</v>
      </c>
      <c r="C108" s="20" t="s">
        <v>235</v>
      </c>
      <c r="D108" s="20"/>
      <c r="E108" s="18">
        <v>4</v>
      </c>
      <c r="F108" s="19" t="str">
        <f t="shared" si="2"/>
        <v>3</v>
      </c>
      <c r="G108" s="18">
        <f>G$5+INT((ROWS(G$5:G107))/10)</f>
        <v>11</v>
      </c>
      <c r="H108" s="20"/>
      <c r="I108" s="18">
        <v>64</v>
      </c>
      <c r="J108" s="18">
        <v>5</v>
      </c>
      <c r="K108" s="18" t="s">
        <v>120</v>
      </c>
      <c r="L108" s="18">
        <v>3</v>
      </c>
      <c r="M108" s="18" t="str">
        <f t="shared" si="1"/>
        <v>304</v>
      </c>
      <c r="N108" s="18">
        <v>-1</v>
      </c>
      <c r="O108" s="18">
        <v>-1</v>
      </c>
      <c r="P108" s="20" t="s">
        <v>241</v>
      </c>
      <c r="Q108" s="20"/>
      <c r="R108" s="20">
        <v>45360</v>
      </c>
      <c r="S108" s="18">
        <v>300</v>
      </c>
      <c r="T108" s="20" t="s">
        <v>237</v>
      </c>
      <c r="U108" s="18" t="s">
        <v>238</v>
      </c>
      <c r="V108" s="18"/>
      <c r="W108" s="18">
        <v>2</v>
      </c>
      <c r="X108" s="18" t="s">
        <v>92</v>
      </c>
      <c r="Y108" s="7" t="s">
        <v>131</v>
      </c>
      <c r="Z108" s="7">
        <v>10</v>
      </c>
      <c r="AA108" s="18" t="s">
        <v>150</v>
      </c>
      <c r="AB108" s="18">
        <v>1</v>
      </c>
      <c r="AC108" s="20">
        <v>8</v>
      </c>
      <c r="AD108" s="20"/>
    </row>
    <row r="109" spans="2:30">
      <c r="B109" s="18">
        <v>30405</v>
      </c>
      <c r="C109" s="20" t="s">
        <v>235</v>
      </c>
      <c r="D109" s="20"/>
      <c r="E109" s="18">
        <v>5</v>
      </c>
      <c r="F109" s="19" t="str">
        <f t="shared" si="2"/>
        <v>3</v>
      </c>
      <c r="G109" s="18">
        <f>G$5+INT((ROWS(G$5:G108))/10)</f>
        <v>11</v>
      </c>
      <c r="H109" s="20"/>
      <c r="I109" s="18">
        <v>77</v>
      </c>
      <c r="J109" s="18">
        <v>6</v>
      </c>
      <c r="K109" s="18" t="s">
        <v>120</v>
      </c>
      <c r="L109" s="18">
        <v>3</v>
      </c>
      <c r="M109" s="18" t="str">
        <f t="shared" si="1"/>
        <v>304</v>
      </c>
      <c r="N109" s="18">
        <v>-1</v>
      </c>
      <c r="O109" s="18">
        <v>-1</v>
      </c>
      <c r="P109" s="20" t="s">
        <v>242</v>
      </c>
      <c r="Q109" s="20"/>
      <c r="R109" s="20">
        <v>51984</v>
      </c>
      <c r="S109" s="18">
        <v>300</v>
      </c>
      <c r="T109" s="20" t="s">
        <v>237</v>
      </c>
      <c r="U109" s="18" t="s">
        <v>238</v>
      </c>
      <c r="V109" s="18"/>
      <c r="W109" s="18">
        <v>2</v>
      </c>
      <c r="X109" s="18" t="s">
        <v>92</v>
      </c>
      <c r="Y109" s="7" t="s">
        <v>133</v>
      </c>
      <c r="Z109" s="7">
        <v>15</v>
      </c>
      <c r="AA109" s="18" t="s">
        <v>150</v>
      </c>
      <c r="AB109" s="18">
        <v>1</v>
      </c>
      <c r="AC109" s="20">
        <v>10</v>
      </c>
      <c r="AD109" s="20"/>
    </row>
    <row r="110" spans="2:30">
      <c r="B110" s="18">
        <v>30406</v>
      </c>
      <c r="C110" s="20" t="s">
        <v>235</v>
      </c>
      <c r="D110" s="20"/>
      <c r="E110" s="18">
        <v>6</v>
      </c>
      <c r="F110" s="19" t="str">
        <f t="shared" si="2"/>
        <v>3</v>
      </c>
      <c r="G110" s="18">
        <f>G$5+INT((ROWS(G$5:G109))/10)</f>
        <v>11</v>
      </c>
      <c r="H110" s="20"/>
      <c r="I110" s="18">
        <v>103</v>
      </c>
      <c r="J110" s="18">
        <v>8</v>
      </c>
      <c r="K110" s="18" t="s">
        <v>120</v>
      </c>
      <c r="L110" s="18">
        <v>3</v>
      </c>
      <c r="M110" s="18" t="str">
        <f t="shared" ref="M110:M173" si="3">LEFT(B110,3)</f>
        <v>304</v>
      </c>
      <c r="N110" s="18">
        <v>-1</v>
      </c>
      <c r="O110" s="18">
        <v>-1</v>
      </c>
      <c r="P110" s="20" t="s">
        <v>243</v>
      </c>
      <c r="Q110" s="20"/>
      <c r="R110" s="20">
        <v>58896</v>
      </c>
      <c r="S110" s="18">
        <v>300</v>
      </c>
      <c r="T110" s="20" t="s">
        <v>237</v>
      </c>
      <c r="U110" s="18" t="s">
        <v>238</v>
      </c>
      <c r="V110" s="18"/>
      <c r="W110" s="18">
        <v>2</v>
      </c>
      <c r="X110" s="18" t="s">
        <v>92</v>
      </c>
      <c r="Y110" s="7" t="s">
        <v>135</v>
      </c>
      <c r="Z110" s="7">
        <v>20</v>
      </c>
      <c r="AA110" s="18" t="s">
        <v>150</v>
      </c>
      <c r="AB110" s="18">
        <v>1</v>
      </c>
      <c r="AC110" s="20">
        <v>12</v>
      </c>
      <c r="AD110" s="20"/>
    </row>
    <row r="111" spans="2:30">
      <c r="B111" s="18">
        <v>30407</v>
      </c>
      <c r="C111" s="20" t="s">
        <v>235</v>
      </c>
      <c r="D111" s="20"/>
      <c r="E111" s="18">
        <v>7</v>
      </c>
      <c r="F111" s="19" t="str">
        <f t="shared" si="2"/>
        <v>3</v>
      </c>
      <c r="G111" s="18">
        <f>G$5+INT((ROWS(G$5:G110))/10)</f>
        <v>11</v>
      </c>
      <c r="H111" s="20"/>
      <c r="I111" s="18">
        <v>139</v>
      </c>
      <c r="J111" s="18">
        <v>8</v>
      </c>
      <c r="K111" s="18" t="s">
        <v>120</v>
      </c>
      <c r="L111" s="18">
        <v>3</v>
      </c>
      <c r="M111" s="18" t="str">
        <f t="shared" si="3"/>
        <v>304</v>
      </c>
      <c r="N111" s="18">
        <v>-1</v>
      </c>
      <c r="O111" s="18">
        <v>-1</v>
      </c>
      <c r="P111" s="20" t="s">
        <v>244</v>
      </c>
      <c r="Q111" s="20"/>
      <c r="R111" s="20">
        <v>65520</v>
      </c>
      <c r="S111" s="18">
        <v>300</v>
      </c>
      <c r="T111" s="20" t="s">
        <v>237</v>
      </c>
      <c r="U111" s="18" t="s">
        <v>238</v>
      </c>
      <c r="V111" s="18"/>
      <c r="W111" s="18">
        <v>2</v>
      </c>
      <c r="X111" s="18" t="s">
        <v>92</v>
      </c>
      <c r="Y111" s="7" t="s">
        <v>137</v>
      </c>
      <c r="Z111" s="7">
        <v>25</v>
      </c>
      <c r="AA111" s="18" t="s">
        <v>150</v>
      </c>
      <c r="AB111" s="18">
        <v>1</v>
      </c>
      <c r="AC111" s="20">
        <v>14</v>
      </c>
      <c r="AD111" s="20"/>
    </row>
    <row r="112" spans="2:30">
      <c r="B112" s="18">
        <v>30408</v>
      </c>
      <c r="C112" s="20" t="s">
        <v>235</v>
      </c>
      <c r="D112" s="20"/>
      <c r="E112" s="18">
        <v>8</v>
      </c>
      <c r="F112" s="19" t="str">
        <f t="shared" si="2"/>
        <v>3</v>
      </c>
      <c r="G112" s="18">
        <f>G$5+INT((ROWS(G$5:G111))/10)</f>
        <v>11</v>
      </c>
      <c r="H112" s="20"/>
      <c r="I112" s="18">
        <v>150</v>
      </c>
      <c r="J112" s="18">
        <v>9</v>
      </c>
      <c r="K112" s="18" t="s">
        <v>120</v>
      </c>
      <c r="L112" s="18">
        <v>3</v>
      </c>
      <c r="M112" s="18" t="str">
        <f t="shared" si="3"/>
        <v>304</v>
      </c>
      <c r="N112" s="18">
        <v>-1</v>
      </c>
      <c r="O112" s="18">
        <v>-1</v>
      </c>
      <c r="P112" s="20" t="s">
        <v>245</v>
      </c>
      <c r="Q112" s="20"/>
      <c r="R112" s="20">
        <v>72288</v>
      </c>
      <c r="S112" s="18">
        <v>300</v>
      </c>
      <c r="T112" s="20" t="s">
        <v>237</v>
      </c>
      <c r="U112" s="18" t="s">
        <v>238</v>
      </c>
      <c r="V112" s="18"/>
      <c r="W112" s="18">
        <v>2</v>
      </c>
      <c r="X112" s="18" t="s">
        <v>92</v>
      </c>
      <c r="Y112" s="7" t="s">
        <v>139</v>
      </c>
      <c r="Z112" s="7">
        <v>30</v>
      </c>
      <c r="AA112" s="18" t="s">
        <v>150</v>
      </c>
      <c r="AB112" s="18">
        <v>1</v>
      </c>
      <c r="AC112" s="20">
        <v>16</v>
      </c>
      <c r="AD112" s="20"/>
    </row>
    <row r="113" spans="2:30">
      <c r="B113" s="18">
        <v>30409</v>
      </c>
      <c r="C113" s="20" t="s">
        <v>235</v>
      </c>
      <c r="D113" s="20"/>
      <c r="E113" s="18">
        <v>9</v>
      </c>
      <c r="F113" s="19" t="str">
        <f t="shared" si="2"/>
        <v>3</v>
      </c>
      <c r="G113" s="18">
        <f>G$5+INT((ROWS(G$5:G112))/10)</f>
        <v>11</v>
      </c>
      <c r="H113" s="20"/>
      <c r="I113" s="18">
        <v>179</v>
      </c>
      <c r="J113" s="18">
        <v>11</v>
      </c>
      <c r="K113" s="18" t="s">
        <v>120</v>
      </c>
      <c r="L113" s="18">
        <v>3</v>
      </c>
      <c r="M113" s="18" t="str">
        <f t="shared" si="3"/>
        <v>304</v>
      </c>
      <c r="N113" s="18">
        <v>-1</v>
      </c>
      <c r="O113" s="18">
        <v>-1</v>
      </c>
      <c r="P113" s="20" t="s">
        <v>246</v>
      </c>
      <c r="Q113" s="20"/>
      <c r="R113" s="20">
        <v>79056</v>
      </c>
      <c r="S113" s="18">
        <v>300</v>
      </c>
      <c r="T113" s="20" t="s">
        <v>237</v>
      </c>
      <c r="U113" s="18" t="s">
        <v>238</v>
      </c>
      <c r="V113" s="18"/>
      <c r="W113" s="18">
        <v>2</v>
      </c>
      <c r="X113" s="18" t="s">
        <v>92</v>
      </c>
      <c r="Y113" s="7" t="s">
        <v>141</v>
      </c>
      <c r="Z113" s="7">
        <v>35</v>
      </c>
      <c r="AA113" s="18" t="s">
        <v>150</v>
      </c>
      <c r="AB113" s="18">
        <v>1</v>
      </c>
      <c r="AC113" s="20">
        <v>18</v>
      </c>
      <c r="AD113" s="20"/>
    </row>
    <row r="114" spans="2:30">
      <c r="B114" s="18">
        <v>30410</v>
      </c>
      <c r="C114" s="20" t="s">
        <v>235</v>
      </c>
      <c r="D114" s="20"/>
      <c r="E114" s="18">
        <v>10</v>
      </c>
      <c r="F114" s="19" t="str">
        <f t="shared" si="2"/>
        <v>3</v>
      </c>
      <c r="G114" s="18">
        <f>G$5+INT((ROWS(G$5:G113))/10)</f>
        <v>11</v>
      </c>
      <c r="H114" s="20"/>
      <c r="I114" s="18">
        <v>219</v>
      </c>
      <c r="J114" s="18">
        <v>11</v>
      </c>
      <c r="K114" s="18" t="s">
        <v>120</v>
      </c>
      <c r="L114" s="18">
        <v>3</v>
      </c>
      <c r="M114" s="18" t="str">
        <f t="shared" si="3"/>
        <v>304</v>
      </c>
      <c r="N114" s="18">
        <v>-1</v>
      </c>
      <c r="O114" s="18">
        <v>-1</v>
      </c>
      <c r="P114" s="20" t="s">
        <v>247</v>
      </c>
      <c r="Q114" s="20"/>
      <c r="R114" s="20">
        <v>85824</v>
      </c>
      <c r="S114" s="18">
        <v>300</v>
      </c>
      <c r="T114" s="20" t="s">
        <v>237</v>
      </c>
      <c r="U114" s="18" t="s">
        <v>238</v>
      </c>
      <c r="V114" s="18"/>
      <c r="W114" s="18">
        <v>2</v>
      </c>
      <c r="X114" s="18" t="s">
        <v>92</v>
      </c>
      <c r="Y114" s="7" t="s">
        <v>143</v>
      </c>
      <c r="Z114" s="7">
        <v>40</v>
      </c>
      <c r="AA114" s="18" t="s">
        <v>150</v>
      </c>
      <c r="AB114" s="18">
        <v>1</v>
      </c>
      <c r="AC114" s="20">
        <v>20</v>
      </c>
      <c r="AD114" s="20"/>
    </row>
    <row r="115" spans="2:30">
      <c r="B115" s="18">
        <v>40101</v>
      </c>
      <c r="C115" s="20" t="s">
        <v>248</v>
      </c>
      <c r="D115" s="20"/>
      <c r="E115" s="18">
        <v>1</v>
      </c>
      <c r="F115" s="19" t="str">
        <f t="shared" si="2"/>
        <v>4</v>
      </c>
      <c r="G115" s="18">
        <f>G$5+INT((ROWS(G$5:G114))/10)</f>
        <v>12</v>
      </c>
      <c r="H115" s="20" t="s">
        <v>249</v>
      </c>
      <c r="I115" s="18">
        <v>7</v>
      </c>
      <c r="J115" s="18">
        <v>4</v>
      </c>
      <c r="K115" s="18"/>
      <c r="L115" s="18">
        <v>3</v>
      </c>
      <c r="M115" s="18" t="str">
        <f t="shared" si="3"/>
        <v>401</v>
      </c>
      <c r="N115" s="18">
        <v>40</v>
      </c>
      <c r="O115" s="18">
        <v>185</v>
      </c>
      <c r="P115" s="20" t="s">
        <v>250</v>
      </c>
      <c r="Q115" s="20" t="s">
        <v>251</v>
      </c>
      <c r="R115" s="20">
        <v>200</v>
      </c>
      <c r="S115" s="18">
        <v>300</v>
      </c>
      <c r="T115" s="20" t="s">
        <v>252</v>
      </c>
      <c r="U115" s="18" t="s">
        <v>253</v>
      </c>
      <c r="V115" s="18"/>
      <c r="W115" s="18">
        <v>2</v>
      </c>
      <c r="X115" s="18" t="s">
        <v>92</v>
      </c>
      <c r="Y115" s="7" t="s">
        <v>254</v>
      </c>
      <c r="Z115" s="6">
        <v>1</v>
      </c>
      <c r="AA115" s="18" t="s">
        <v>150</v>
      </c>
      <c r="AB115" s="18">
        <v>1</v>
      </c>
      <c r="AC115" s="20">
        <v>2</v>
      </c>
      <c r="AD115" s="20">
        <v>20</v>
      </c>
    </row>
    <row r="116" spans="2:30">
      <c r="B116" s="18">
        <v>40102</v>
      </c>
      <c r="C116" s="20" t="s">
        <v>248</v>
      </c>
      <c r="D116" s="20"/>
      <c r="E116" s="18">
        <v>2</v>
      </c>
      <c r="F116" s="19" t="str">
        <f t="shared" si="2"/>
        <v>4</v>
      </c>
      <c r="G116" s="18">
        <f>G$5+INT((ROWS(G$5:G115))/10)</f>
        <v>12</v>
      </c>
      <c r="H116" s="20" t="s">
        <v>249</v>
      </c>
      <c r="I116" s="18">
        <v>22</v>
      </c>
      <c r="J116" s="18">
        <v>4</v>
      </c>
      <c r="K116" s="18"/>
      <c r="L116" s="18">
        <v>3</v>
      </c>
      <c r="M116" s="18" t="str">
        <f t="shared" si="3"/>
        <v>401</v>
      </c>
      <c r="N116" s="18">
        <v>44</v>
      </c>
      <c r="O116" s="18">
        <v>178</v>
      </c>
      <c r="P116" s="20" t="s">
        <v>250</v>
      </c>
      <c r="Q116" s="20" t="s">
        <v>251</v>
      </c>
      <c r="R116" s="20">
        <v>200</v>
      </c>
      <c r="S116" s="18">
        <v>300</v>
      </c>
      <c r="T116" s="20" t="s">
        <v>252</v>
      </c>
      <c r="U116" s="18" t="s">
        <v>253</v>
      </c>
      <c r="V116" s="18"/>
      <c r="W116" s="18">
        <v>2</v>
      </c>
      <c r="X116" s="18" t="s">
        <v>92</v>
      </c>
      <c r="Y116" s="7" t="s">
        <v>255</v>
      </c>
      <c r="Z116" s="7">
        <v>3</v>
      </c>
      <c r="AA116" s="18" t="s">
        <v>150</v>
      </c>
      <c r="AB116" s="18">
        <v>1</v>
      </c>
      <c r="AC116" s="20">
        <v>4</v>
      </c>
      <c r="AD116" s="20">
        <v>20</v>
      </c>
    </row>
    <row r="117" spans="2:30">
      <c r="B117" s="18">
        <v>40103</v>
      </c>
      <c r="C117" s="20" t="s">
        <v>248</v>
      </c>
      <c r="D117" s="20"/>
      <c r="E117" s="18">
        <v>3</v>
      </c>
      <c r="F117" s="19" t="str">
        <f t="shared" si="2"/>
        <v>4</v>
      </c>
      <c r="G117" s="18">
        <f>G$5+INT((ROWS(G$5:G116))/10)</f>
        <v>12</v>
      </c>
      <c r="H117" s="20" t="s">
        <v>249</v>
      </c>
      <c r="I117" s="18">
        <v>45</v>
      </c>
      <c r="J117" s="18">
        <v>6</v>
      </c>
      <c r="K117" s="18"/>
      <c r="L117" s="18">
        <v>3</v>
      </c>
      <c r="M117" s="18" t="str">
        <f t="shared" si="3"/>
        <v>401</v>
      </c>
      <c r="N117" s="18">
        <v>49</v>
      </c>
      <c r="O117" s="18">
        <v>171</v>
      </c>
      <c r="P117" s="20" t="s">
        <v>250</v>
      </c>
      <c r="Q117" s="20" t="s">
        <v>251</v>
      </c>
      <c r="R117" s="20">
        <v>200</v>
      </c>
      <c r="S117" s="18">
        <v>300</v>
      </c>
      <c r="T117" s="20" t="s">
        <v>252</v>
      </c>
      <c r="U117" s="18" t="s">
        <v>253</v>
      </c>
      <c r="V117" s="18"/>
      <c r="W117" s="18">
        <v>2</v>
      </c>
      <c r="X117" s="18" t="s">
        <v>92</v>
      </c>
      <c r="Y117" s="7" t="s">
        <v>256</v>
      </c>
      <c r="Z117" s="7">
        <v>5</v>
      </c>
      <c r="AA117" s="18" t="s">
        <v>150</v>
      </c>
      <c r="AB117" s="18">
        <v>1</v>
      </c>
      <c r="AC117" s="20">
        <v>6</v>
      </c>
      <c r="AD117" s="20">
        <v>20</v>
      </c>
    </row>
    <row r="118" spans="2:30">
      <c r="B118" s="18">
        <v>40104</v>
      </c>
      <c r="C118" s="20" t="s">
        <v>248</v>
      </c>
      <c r="D118" s="20"/>
      <c r="E118" s="18">
        <v>4</v>
      </c>
      <c r="F118" s="19" t="str">
        <f t="shared" si="2"/>
        <v>4</v>
      </c>
      <c r="G118" s="18">
        <f>G$5+INT((ROWS(G$5:G117))/10)</f>
        <v>12</v>
      </c>
      <c r="H118" s="20" t="s">
        <v>249</v>
      </c>
      <c r="I118" s="18">
        <v>79</v>
      </c>
      <c r="J118" s="18">
        <v>6</v>
      </c>
      <c r="K118" s="18"/>
      <c r="L118" s="18">
        <v>3</v>
      </c>
      <c r="M118" s="18" t="str">
        <f t="shared" si="3"/>
        <v>401</v>
      </c>
      <c r="N118" s="18">
        <v>53</v>
      </c>
      <c r="O118" s="18">
        <v>164</v>
      </c>
      <c r="P118" s="20" t="s">
        <v>250</v>
      </c>
      <c r="Q118" s="20" t="s">
        <v>251</v>
      </c>
      <c r="R118" s="20">
        <v>200</v>
      </c>
      <c r="S118" s="18">
        <v>300</v>
      </c>
      <c r="T118" s="20" t="s">
        <v>252</v>
      </c>
      <c r="U118" s="18" t="s">
        <v>253</v>
      </c>
      <c r="V118" s="18"/>
      <c r="W118" s="18">
        <v>2</v>
      </c>
      <c r="X118" s="18" t="s">
        <v>92</v>
      </c>
      <c r="Y118" s="7" t="s">
        <v>257</v>
      </c>
      <c r="Z118" s="7">
        <v>10</v>
      </c>
      <c r="AA118" s="18" t="s">
        <v>150</v>
      </c>
      <c r="AB118" s="18">
        <v>1</v>
      </c>
      <c r="AC118" s="20">
        <v>8</v>
      </c>
      <c r="AD118" s="20">
        <v>20</v>
      </c>
    </row>
    <row r="119" spans="2:30">
      <c r="B119" s="18">
        <v>40105</v>
      </c>
      <c r="C119" s="20" t="s">
        <v>248</v>
      </c>
      <c r="D119" s="20"/>
      <c r="E119" s="18">
        <v>5</v>
      </c>
      <c r="F119" s="19" t="str">
        <f t="shared" si="2"/>
        <v>4</v>
      </c>
      <c r="G119" s="18">
        <f>G$5+INT((ROWS(G$5:G118))/10)</f>
        <v>12</v>
      </c>
      <c r="H119" s="20" t="s">
        <v>249</v>
      </c>
      <c r="I119" s="18">
        <v>96</v>
      </c>
      <c r="J119" s="18">
        <v>7</v>
      </c>
      <c r="K119" s="18"/>
      <c r="L119" s="18">
        <v>3</v>
      </c>
      <c r="M119" s="18" t="str">
        <f t="shared" si="3"/>
        <v>401</v>
      </c>
      <c r="N119" s="18">
        <v>58</v>
      </c>
      <c r="O119" s="18">
        <v>158</v>
      </c>
      <c r="P119" s="20" t="s">
        <v>250</v>
      </c>
      <c r="Q119" s="20" t="s">
        <v>251</v>
      </c>
      <c r="R119" s="20">
        <v>200</v>
      </c>
      <c r="S119" s="18">
        <v>300</v>
      </c>
      <c r="T119" s="20" t="s">
        <v>252</v>
      </c>
      <c r="U119" s="18" t="s">
        <v>253</v>
      </c>
      <c r="V119" s="18"/>
      <c r="W119" s="18">
        <v>2</v>
      </c>
      <c r="X119" s="18" t="s">
        <v>92</v>
      </c>
      <c r="Y119" s="7" t="s">
        <v>258</v>
      </c>
      <c r="Z119" s="7">
        <v>15</v>
      </c>
      <c r="AA119" s="18" t="s">
        <v>150</v>
      </c>
      <c r="AB119" s="18">
        <v>1</v>
      </c>
      <c r="AC119" s="20">
        <v>10</v>
      </c>
      <c r="AD119" s="20">
        <v>20</v>
      </c>
    </row>
    <row r="120" spans="2:30">
      <c r="B120" s="18">
        <v>40106</v>
      </c>
      <c r="C120" s="20" t="s">
        <v>248</v>
      </c>
      <c r="D120" s="20"/>
      <c r="E120" s="18">
        <v>6</v>
      </c>
      <c r="F120" s="19" t="str">
        <f t="shared" si="2"/>
        <v>4</v>
      </c>
      <c r="G120" s="18">
        <f>G$5+INT((ROWS(G$5:G119))/10)</f>
        <v>12</v>
      </c>
      <c r="H120" s="20" t="s">
        <v>249</v>
      </c>
      <c r="I120" s="18">
        <v>129</v>
      </c>
      <c r="J120" s="18">
        <v>10</v>
      </c>
      <c r="K120" s="18"/>
      <c r="L120" s="18">
        <v>3</v>
      </c>
      <c r="M120" s="18" t="str">
        <f t="shared" si="3"/>
        <v>401</v>
      </c>
      <c r="N120" s="18">
        <v>62</v>
      </c>
      <c r="O120" s="18">
        <v>151</v>
      </c>
      <c r="P120" s="20" t="s">
        <v>250</v>
      </c>
      <c r="Q120" s="20" t="s">
        <v>251</v>
      </c>
      <c r="R120" s="20">
        <v>200</v>
      </c>
      <c r="S120" s="18">
        <v>300</v>
      </c>
      <c r="T120" s="20" t="s">
        <v>252</v>
      </c>
      <c r="U120" s="18" t="s">
        <v>253</v>
      </c>
      <c r="V120" s="18"/>
      <c r="W120" s="18">
        <v>2</v>
      </c>
      <c r="X120" s="18" t="s">
        <v>92</v>
      </c>
      <c r="Y120" s="7" t="s">
        <v>259</v>
      </c>
      <c r="Z120" s="7">
        <v>20</v>
      </c>
      <c r="AA120" s="18" t="s">
        <v>150</v>
      </c>
      <c r="AB120" s="18">
        <v>1</v>
      </c>
      <c r="AC120" s="20">
        <v>12</v>
      </c>
      <c r="AD120" s="20">
        <v>20</v>
      </c>
    </row>
    <row r="121" spans="2:30">
      <c r="B121" s="18">
        <v>40107</v>
      </c>
      <c r="C121" s="20" t="s">
        <v>248</v>
      </c>
      <c r="D121" s="20"/>
      <c r="E121" s="18">
        <v>7</v>
      </c>
      <c r="F121" s="19" t="str">
        <f t="shared" si="2"/>
        <v>4</v>
      </c>
      <c r="G121" s="18">
        <f>G$5+INT((ROWS(G$5:G120))/10)</f>
        <v>12</v>
      </c>
      <c r="H121" s="20" t="s">
        <v>249</v>
      </c>
      <c r="I121" s="18">
        <v>173</v>
      </c>
      <c r="J121" s="18">
        <v>10</v>
      </c>
      <c r="K121" s="18"/>
      <c r="L121" s="18">
        <v>3</v>
      </c>
      <c r="M121" s="18" t="str">
        <f t="shared" si="3"/>
        <v>401</v>
      </c>
      <c r="N121" s="18">
        <v>67</v>
      </c>
      <c r="O121" s="18">
        <v>144</v>
      </c>
      <c r="P121" s="20" t="s">
        <v>250</v>
      </c>
      <c r="Q121" s="20" t="s">
        <v>251</v>
      </c>
      <c r="R121" s="20">
        <v>200</v>
      </c>
      <c r="S121" s="18">
        <v>300</v>
      </c>
      <c r="T121" s="20" t="s">
        <v>252</v>
      </c>
      <c r="U121" s="18" t="s">
        <v>253</v>
      </c>
      <c r="V121" s="18"/>
      <c r="W121" s="18">
        <v>2</v>
      </c>
      <c r="X121" s="18" t="s">
        <v>92</v>
      </c>
      <c r="Y121" s="7" t="s">
        <v>260</v>
      </c>
      <c r="Z121" s="7">
        <v>25</v>
      </c>
      <c r="AA121" s="18" t="s">
        <v>150</v>
      </c>
      <c r="AB121" s="18">
        <v>1</v>
      </c>
      <c r="AC121" s="20">
        <v>14</v>
      </c>
      <c r="AD121" s="20">
        <v>20</v>
      </c>
    </row>
    <row r="122" spans="2:30">
      <c r="B122" s="18">
        <v>40108</v>
      </c>
      <c r="C122" s="20" t="s">
        <v>248</v>
      </c>
      <c r="D122" s="20"/>
      <c r="E122" s="18">
        <v>8</v>
      </c>
      <c r="F122" s="19" t="str">
        <f t="shared" si="2"/>
        <v>4</v>
      </c>
      <c r="G122" s="18">
        <f>G$5+INT((ROWS(G$5:G121))/10)</f>
        <v>12</v>
      </c>
      <c r="H122" s="20" t="s">
        <v>249</v>
      </c>
      <c r="I122" s="18">
        <v>187</v>
      </c>
      <c r="J122" s="18">
        <v>11</v>
      </c>
      <c r="K122" s="18"/>
      <c r="L122" s="18">
        <v>3</v>
      </c>
      <c r="M122" s="18" t="str">
        <f t="shared" si="3"/>
        <v>401</v>
      </c>
      <c r="N122" s="18">
        <v>71</v>
      </c>
      <c r="O122" s="18">
        <v>137</v>
      </c>
      <c r="P122" s="20" t="s">
        <v>250</v>
      </c>
      <c r="Q122" s="20" t="s">
        <v>251</v>
      </c>
      <c r="R122" s="20">
        <v>200</v>
      </c>
      <c r="S122" s="18">
        <v>300</v>
      </c>
      <c r="T122" s="20" t="s">
        <v>252</v>
      </c>
      <c r="U122" s="18" t="s">
        <v>253</v>
      </c>
      <c r="V122" s="18"/>
      <c r="W122" s="18">
        <v>2</v>
      </c>
      <c r="X122" s="18" t="s">
        <v>92</v>
      </c>
      <c r="Y122" s="7" t="s">
        <v>261</v>
      </c>
      <c r="Z122" s="7">
        <v>30</v>
      </c>
      <c r="AA122" s="18" t="s">
        <v>150</v>
      </c>
      <c r="AB122" s="18">
        <v>1</v>
      </c>
      <c r="AC122" s="20">
        <v>16</v>
      </c>
      <c r="AD122" s="20">
        <v>20</v>
      </c>
    </row>
    <row r="123" spans="2:30">
      <c r="B123" s="18">
        <v>40109</v>
      </c>
      <c r="C123" s="20" t="s">
        <v>248</v>
      </c>
      <c r="D123" s="20"/>
      <c r="E123" s="18">
        <v>9</v>
      </c>
      <c r="F123" s="19" t="str">
        <f t="shared" si="2"/>
        <v>4</v>
      </c>
      <c r="G123" s="18">
        <f>G$5+INT((ROWS(G$5:G122))/10)</f>
        <v>12</v>
      </c>
      <c r="H123" s="20" t="s">
        <v>249</v>
      </c>
      <c r="I123" s="18">
        <v>224</v>
      </c>
      <c r="J123" s="18">
        <v>13</v>
      </c>
      <c r="K123" s="18"/>
      <c r="L123" s="18">
        <v>3</v>
      </c>
      <c r="M123" s="18" t="str">
        <f t="shared" si="3"/>
        <v>401</v>
      </c>
      <c r="N123" s="18">
        <v>76</v>
      </c>
      <c r="O123" s="18">
        <v>130</v>
      </c>
      <c r="P123" s="20" t="s">
        <v>250</v>
      </c>
      <c r="Q123" s="20" t="s">
        <v>251</v>
      </c>
      <c r="R123" s="20">
        <v>200</v>
      </c>
      <c r="S123" s="18">
        <v>300</v>
      </c>
      <c r="T123" s="20" t="s">
        <v>252</v>
      </c>
      <c r="U123" s="18" t="s">
        <v>253</v>
      </c>
      <c r="V123" s="18"/>
      <c r="W123" s="18">
        <v>2</v>
      </c>
      <c r="X123" s="18" t="s">
        <v>92</v>
      </c>
      <c r="Y123" s="7" t="s">
        <v>262</v>
      </c>
      <c r="Z123" s="7">
        <v>35</v>
      </c>
      <c r="AA123" s="18" t="s">
        <v>150</v>
      </c>
      <c r="AB123" s="18">
        <v>1</v>
      </c>
      <c r="AC123" s="20">
        <v>18</v>
      </c>
      <c r="AD123" s="20">
        <v>20</v>
      </c>
    </row>
    <row r="124" spans="2:30">
      <c r="B124" s="18">
        <v>40110</v>
      </c>
      <c r="C124" s="20" t="s">
        <v>248</v>
      </c>
      <c r="D124" s="20"/>
      <c r="E124" s="18">
        <v>10</v>
      </c>
      <c r="F124" s="19" t="str">
        <f t="shared" si="2"/>
        <v>4</v>
      </c>
      <c r="G124" s="18">
        <f>G$5+INT((ROWS(G$5:G123))/10)</f>
        <v>12</v>
      </c>
      <c r="H124" s="20" t="s">
        <v>249</v>
      </c>
      <c r="I124" s="18">
        <v>274</v>
      </c>
      <c r="J124" s="18">
        <v>14</v>
      </c>
      <c r="K124" s="18"/>
      <c r="L124" s="18">
        <v>3</v>
      </c>
      <c r="M124" s="18" t="str">
        <f t="shared" si="3"/>
        <v>401</v>
      </c>
      <c r="N124" s="18">
        <v>80</v>
      </c>
      <c r="O124" s="18">
        <v>123</v>
      </c>
      <c r="P124" s="20" t="s">
        <v>250</v>
      </c>
      <c r="Q124" s="20" t="s">
        <v>251</v>
      </c>
      <c r="R124" s="20">
        <v>200</v>
      </c>
      <c r="S124" s="18">
        <v>300</v>
      </c>
      <c r="T124" s="20" t="s">
        <v>252</v>
      </c>
      <c r="U124" s="18" t="s">
        <v>253</v>
      </c>
      <c r="V124" s="18"/>
      <c r="W124" s="18">
        <v>2</v>
      </c>
      <c r="X124" s="18" t="s">
        <v>92</v>
      </c>
      <c r="Y124" s="7" t="s">
        <v>263</v>
      </c>
      <c r="Z124" s="7">
        <v>40</v>
      </c>
      <c r="AA124" s="18" t="s">
        <v>150</v>
      </c>
      <c r="AB124" s="18">
        <v>1</v>
      </c>
      <c r="AC124" s="20">
        <v>20</v>
      </c>
      <c r="AD124" s="20">
        <v>20</v>
      </c>
    </row>
    <row r="125" spans="2:30">
      <c r="B125" s="18">
        <v>40201</v>
      </c>
      <c r="C125" s="20" t="s">
        <v>264</v>
      </c>
      <c r="D125" s="20"/>
      <c r="E125" s="18">
        <v>1</v>
      </c>
      <c r="F125" s="19" t="str">
        <f t="shared" si="2"/>
        <v>4</v>
      </c>
      <c r="G125" s="18">
        <f>G$5+INT((ROWS(G$5:G124))/10)</f>
        <v>13</v>
      </c>
      <c r="H125" s="20" t="s">
        <v>265</v>
      </c>
      <c r="I125" s="18">
        <v>7</v>
      </c>
      <c r="J125" s="18">
        <v>4</v>
      </c>
      <c r="K125" s="18"/>
      <c r="L125" s="18">
        <v>3</v>
      </c>
      <c r="M125" s="18" t="str">
        <f t="shared" si="3"/>
        <v>402</v>
      </c>
      <c r="N125" s="18">
        <v>30</v>
      </c>
      <c r="O125" s="18">
        <v>146</v>
      </c>
      <c r="P125" s="20" t="s">
        <v>266</v>
      </c>
      <c r="Q125" s="20" t="s">
        <v>267</v>
      </c>
      <c r="R125" s="20">
        <v>200</v>
      </c>
      <c r="S125" s="18">
        <v>300</v>
      </c>
      <c r="T125" s="20" t="s">
        <v>268</v>
      </c>
      <c r="U125" s="18" t="s">
        <v>269</v>
      </c>
      <c r="V125" s="18"/>
      <c r="W125" s="18">
        <v>2</v>
      </c>
      <c r="X125" s="18" t="s">
        <v>92</v>
      </c>
      <c r="Y125" s="7" t="s">
        <v>254</v>
      </c>
      <c r="Z125" s="6">
        <v>1</v>
      </c>
      <c r="AA125" s="18" t="s">
        <v>150</v>
      </c>
      <c r="AB125" s="18">
        <v>1</v>
      </c>
      <c r="AC125" s="20">
        <v>2</v>
      </c>
      <c r="AD125" s="20">
        <v>30</v>
      </c>
    </row>
    <row r="126" spans="2:30">
      <c r="B126" s="18">
        <v>40202</v>
      </c>
      <c r="C126" s="20" t="s">
        <v>264</v>
      </c>
      <c r="D126" s="20"/>
      <c r="E126" s="18">
        <v>2</v>
      </c>
      <c r="F126" s="19" t="str">
        <f t="shared" si="2"/>
        <v>4</v>
      </c>
      <c r="G126" s="18">
        <f>G$5+INT((ROWS(G$5:G125))/10)</f>
        <v>13</v>
      </c>
      <c r="H126" s="20" t="s">
        <v>265</v>
      </c>
      <c r="I126" s="18">
        <v>22</v>
      </c>
      <c r="J126" s="18">
        <v>4</v>
      </c>
      <c r="K126" s="18"/>
      <c r="L126" s="18">
        <v>3</v>
      </c>
      <c r="M126" s="18" t="str">
        <f t="shared" si="3"/>
        <v>402</v>
      </c>
      <c r="N126" s="18">
        <v>33</v>
      </c>
      <c r="O126" s="18">
        <v>141</v>
      </c>
      <c r="P126" s="20" t="s">
        <v>266</v>
      </c>
      <c r="Q126" s="20" t="s">
        <v>267</v>
      </c>
      <c r="R126" s="20">
        <v>200</v>
      </c>
      <c r="S126" s="18">
        <v>300</v>
      </c>
      <c r="T126" s="20" t="s">
        <v>268</v>
      </c>
      <c r="U126" s="18" t="s">
        <v>269</v>
      </c>
      <c r="V126" s="18"/>
      <c r="W126" s="18">
        <v>2</v>
      </c>
      <c r="X126" s="18" t="s">
        <v>92</v>
      </c>
      <c r="Y126" s="7" t="s">
        <v>255</v>
      </c>
      <c r="Z126" s="7">
        <v>3</v>
      </c>
      <c r="AA126" s="18" t="s">
        <v>150</v>
      </c>
      <c r="AB126" s="18">
        <v>1</v>
      </c>
      <c r="AC126" s="20">
        <v>4</v>
      </c>
      <c r="AD126" s="20">
        <v>30</v>
      </c>
    </row>
    <row r="127" spans="2:30">
      <c r="B127" s="18">
        <v>40203</v>
      </c>
      <c r="C127" s="20" t="s">
        <v>264</v>
      </c>
      <c r="D127" s="20"/>
      <c r="E127" s="18">
        <v>3</v>
      </c>
      <c r="F127" s="19" t="str">
        <f t="shared" si="2"/>
        <v>4</v>
      </c>
      <c r="G127" s="18">
        <f>G$5+INT((ROWS(G$5:G126))/10)</f>
        <v>13</v>
      </c>
      <c r="H127" s="20" t="s">
        <v>265</v>
      </c>
      <c r="I127" s="18">
        <v>45</v>
      </c>
      <c r="J127" s="18">
        <v>6</v>
      </c>
      <c r="K127" s="18"/>
      <c r="L127" s="18">
        <v>3</v>
      </c>
      <c r="M127" s="18" t="str">
        <f t="shared" si="3"/>
        <v>402</v>
      </c>
      <c r="N127" s="18">
        <v>37</v>
      </c>
      <c r="O127" s="18">
        <v>135</v>
      </c>
      <c r="P127" s="20" t="s">
        <v>266</v>
      </c>
      <c r="Q127" s="20" t="s">
        <v>267</v>
      </c>
      <c r="R127" s="20">
        <v>200</v>
      </c>
      <c r="S127" s="18">
        <v>300</v>
      </c>
      <c r="T127" s="20" t="s">
        <v>268</v>
      </c>
      <c r="U127" s="18" t="s">
        <v>269</v>
      </c>
      <c r="V127" s="18"/>
      <c r="W127" s="18">
        <v>2</v>
      </c>
      <c r="X127" s="18" t="s">
        <v>92</v>
      </c>
      <c r="Y127" s="7" t="s">
        <v>256</v>
      </c>
      <c r="Z127" s="7">
        <v>5</v>
      </c>
      <c r="AA127" s="18" t="s">
        <v>150</v>
      </c>
      <c r="AB127" s="18">
        <v>1</v>
      </c>
      <c r="AC127" s="20">
        <v>6</v>
      </c>
      <c r="AD127" s="20">
        <v>30</v>
      </c>
    </row>
    <row r="128" spans="2:30">
      <c r="B128" s="18">
        <v>40204</v>
      </c>
      <c r="C128" s="20" t="s">
        <v>264</v>
      </c>
      <c r="D128" s="20"/>
      <c r="E128" s="18">
        <v>4</v>
      </c>
      <c r="F128" s="19" t="str">
        <f t="shared" si="2"/>
        <v>4</v>
      </c>
      <c r="G128" s="18">
        <f>G$5+INT((ROWS(G$5:G127))/10)</f>
        <v>13</v>
      </c>
      <c r="H128" s="20" t="s">
        <v>265</v>
      </c>
      <c r="I128" s="18">
        <v>79</v>
      </c>
      <c r="J128" s="18">
        <v>6</v>
      </c>
      <c r="K128" s="18"/>
      <c r="L128" s="18">
        <v>3</v>
      </c>
      <c r="M128" s="18" t="str">
        <f t="shared" si="3"/>
        <v>402</v>
      </c>
      <c r="N128" s="18">
        <v>40</v>
      </c>
      <c r="O128" s="18">
        <v>130</v>
      </c>
      <c r="P128" s="20" t="s">
        <v>266</v>
      </c>
      <c r="Q128" s="20" t="s">
        <v>267</v>
      </c>
      <c r="R128" s="20">
        <v>200</v>
      </c>
      <c r="S128" s="18">
        <v>300</v>
      </c>
      <c r="T128" s="20" t="s">
        <v>268</v>
      </c>
      <c r="U128" s="18" t="s">
        <v>269</v>
      </c>
      <c r="V128" s="18"/>
      <c r="W128" s="18">
        <v>2</v>
      </c>
      <c r="X128" s="18" t="s">
        <v>92</v>
      </c>
      <c r="Y128" s="7" t="s">
        <v>257</v>
      </c>
      <c r="Z128" s="7">
        <v>10</v>
      </c>
      <c r="AA128" s="18" t="s">
        <v>150</v>
      </c>
      <c r="AB128" s="18">
        <v>1</v>
      </c>
      <c r="AC128" s="20">
        <v>8</v>
      </c>
      <c r="AD128" s="20">
        <v>30</v>
      </c>
    </row>
    <row r="129" spans="2:30">
      <c r="B129" s="18">
        <v>40205</v>
      </c>
      <c r="C129" s="20" t="s">
        <v>264</v>
      </c>
      <c r="D129" s="20"/>
      <c r="E129" s="18">
        <v>5</v>
      </c>
      <c r="F129" s="19" t="str">
        <f t="shared" si="2"/>
        <v>4</v>
      </c>
      <c r="G129" s="18">
        <f>G$5+INT((ROWS(G$5:G128))/10)</f>
        <v>13</v>
      </c>
      <c r="H129" s="20" t="s">
        <v>265</v>
      </c>
      <c r="I129" s="18">
        <v>96</v>
      </c>
      <c r="J129" s="18">
        <v>7</v>
      </c>
      <c r="K129" s="18"/>
      <c r="L129" s="18">
        <v>3</v>
      </c>
      <c r="M129" s="18" t="str">
        <f t="shared" si="3"/>
        <v>402</v>
      </c>
      <c r="N129" s="18">
        <v>43</v>
      </c>
      <c r="O129" s="18">
        <v>124</v>
      </c>
      <c r="P129" s="20" t="s">
        <v>266</v>
      </c>
      <c r="Q129" s="20" t="s">
        <v>267</v>
      </c>
      <c r="R129" s="20">
        <v>200</v>
      </c>
      <c r="S129" s="18">
        <v>300</v>
      </c>
      <c r="T129" s="20" t="s">
        <v>268</v>
      </c>
      <c r="U129" s="18" t="s">
        <v>269</v>
      </c>
      <c r="V129" s="18"/>
      <c r="W129" s="18">
        <v>2</v>
      </c>
      <c r="X129" s="18" t="s">
        <v>92</v>
      </c>
      <c r="Y129" s="7" t="s">
        <v>258</v>
      </c>
      <c r="Z129" s="7">
        <v>15</v>
      </c>
      <c r="AA129" s="18" t="s">
        <v>150</v>
      </c>
      <c r="AB129" s="18">
        <v>1</v>
      </c>
      <c r="AC129" s="20">
        <v>10</v>
      </c>
      <c r="AD129" s="20">
        <v>30</v>
      </c>
    </row>
    <row r="130" spans="2:30">
      <c r="B130" s="18">
        <v>40206</v>
      </c>
      <c r="C130" s="20" t="s">
        <v>264</v>
      </c>
      <c r="D130" s="20"/>
      <c r="E130" s="18">
        <v>6</v>
      </c>
      <c r="F130" s="19" t="str">
        <f t="shared" si="2"/>
        <v>4</v>
      </c>
      <c r="G130" s="18">
        <f>G$5+INT((ROWS(G$5:G129))/10)</f>
        <v>13</v>
      </c>
      <c r="H130" s="20" t="s">
        <v>265</v>
      </c>
      <c r="I130" s="18">
        <v>129</v>
      </c>
      <c r="J130" s="18">
        <v>10</v>
      </c>
      <c r="K130" s="18"/>
      <c r="L130" s="18">
        <v>3</v>
      </c>
      <c r="M130" s="18" t="str">
        <f t="shared" si="3"/>
        <v>402</v>
      </c>
      <c r="N130" s="18">
        <v>47</v>
      </c>
      <c r="O130" s="18">
        <v>119</v>
      </c>
      <c r="P130" s="20" t="s">
        <v>266</v>
      </c>
      <c r="Q130" s="20" t="s">
        <v>267</v>
      </c>
      <c r="R130" s="20">
        <v>200</v>
      </c>
      <c r="S130" s="18">
        <v>300</v>
      </c>
      <c r="T130" s="20" t="s">
        <v>268</v>
      </c>
      <c r="U130" s="18" t="s">
        <v>269</v>
      </c>
      <c r="V130" s="18"/>
      <c r="W130" s="18">
        <v>2</v>
      </c>
      <c r="X130" s="18" t="s">
        <v>92</v>
      </c>
      <c r="Y130" s="7" t="s">
        <v>259</v>
      </c>
      <c r="Z130" s="7">
        <v>20</v>
      </c>
      <c r="AA130" s="18" t="s">
        <v>150</v>
      </c>
      <c r="AB130" s="18">
        <v>1</v>
      </c>
      <c r="AC130" s="20">
        <v>12</v>
      </c>
      <c r="AD130" s="20">
        <v>30</v>
      </c>
    </row>
    <row r="131" spans="2:30">
      <c r="B131" s="18">
        <v>40207</v>
      </c>
      <c r="C131" s="20" t="s">
        <v>264</v>
      </c>
      <c r="D131" s="20"/>
      <c r="E131" s="18">
        <v>7</v>
      </c>
      <c r="F131" s="19" t="str">
        <f t="shared" si="2"/>
        <v>4</v>
      </c>
      <c r="G131" s="18">
        <f>G$5+INT((ROWS(G$5:G130))/10)</f>
        <v>13</v>
      </c>
      <c r="H131" s="20" t="s">
        <v>265</v>
      </c>
      <c r="I131" s="18">
        <v>173</v>
      </c>
      <c r="J131" s="18">
        <v>10</v>
      </c>
      <c r="K131" s="18"/>
      <c r="L131" s="18">
        <v>3</v>
      </c>
      <c r="M131" s="18" t="str">
        <f t="shared" si="3"/>
        <v>402</v>
      </c>
      <c r="N131" s="18">
        <v>50</v>
      </c>
      <c r="O131" s="18">
        <v>114</v>
      </c>
      <c r="P131" s="20" t="s">
        <v>266</v>
      </c>
      <c r="Q131" s="20" t="s">
        <v>267</v>
      </c>
      <c r="R131" s="20">
        <v>200</v>
      </c>
      <c r="S131" s="18">
        <v>300</v>
      </c>
      <c r="T131" s="20" t="s">
        <v>268</v>
      </c>
      <c r="U131" s="18" t="s">
        <v>269</v>
      </c>
      <c r="V131" s="18"/>
      <c r="W131" s="18">
        <v>2</v>
      </c>
      <c r="X131" s="18" t="s">
        <v>92</v>
      </c>
      <c r="Y131" s="7" t="s">
        <v>260</v>
      </c>
      <c r="Z131" s="7">
        <v>25</v>
      </c>
      <c r="AA131" s="18" t="s">
        <v>150</v>
      </c>
      <c r="AB131" s="18">
        <v>1</v>
      </c>
      <c r="AC131" s="20">
        <v>14</v>
      </c>
      <c r="AD131" s="20">
        <v>30</v>
      </c>
    </row>
    <row r="132" spans="2:30">
      <c r="B132" s="18">
        <v>40208</v>
      </c>
      <c r="C132" s="20" t="s">
        <v>264</v>
      </c>
      <c r="D132" s="20"/>
      <c r="E132" s="18">
        <v>8</v>
      </c>
      <c r="F132" s="19" t="str">
        <f t="shared" si="2"/>
        <v>4</v>
      </c>
      <c r="G132" s="18">
        <f>G$5+INT((ROWS(G$5:G131))/10)</f>
        <v>13</v>
      </c>
      <c r="H132" s="20" t="s">
        <v>265</v>
      </c>
      <c r="I132" s="18">
        <v>187</v>
      </c>
      <c r="J132" s="18">
        <v>11</v>
      </c>
      <c r="K132" s="18"/>
      <c r="L132" s="18">
        <v>3</v>
      </c>
      <c r="M132" s="18" t="str">
        <f t="shared" si="3"/>
        <v>402</v>
      </c>
      <c r="N132" s="18">
        <v>53</v>
      </c>
      <c r="O132" s="18">
        <v>108</v>
      </c>
      <c r="P132" s="20" t="s">
        <v>266</v>
      </c>
      <c r="Q132" s="20" t="s">
        <v>267</v>
      </c>
      <c r="R132" s="20">
        <v>200</v>
      </c>
      <c r="S132" s="18">
        <v>300</v>
      </c>
      <c r="T132" s="20" t="s">
        <v>268</v>
      </c>
      <c r="U132" s="18" t="s">
        <v>269</v>
      </c>
      <c r="V132" s="18"/>
      <c r="W132" s="18">
        <v>2</v>
      </c>
      <c r="X132" s="18" t="s">
        <v>92</v>
      </c>
      <c r="Y132" s="7" t="s">
        <v>261</v>
      </c>
      <c r="Z132" s="7">
        <v>30</v>
      </c>
      <c r="AA132" s="18" t="s">
        <v>150</v>
      </c>
      <c r="AB132" s="18">
        <v>1</v>
      </c>
      <c r="AC132" s="20">
        <v>16</v>
      </c>
      <c r="AD132" s="20">
        <v>30</v>
      </c>
    </row>
    <row r="133" spans="2:30">
      <c r="B133" s="18">
        <v>40209</v>
      </c>
      <c r="C133" s="20" t="s">
        <v>264</v>
      </c>
      <c r="D133" s="20"/>
      <c r="E133" s="18">
        <v>9</v>
      </c>
      <c r="F133" s="19" t="str">
        <f t="shared" si="2"/>
        <v>4</v>
      </c>
      <c r="G133" s="18">
        <f>G$5+INT((ROWS(G$5:G132))/10)</f>
        <v>13</v>
      </c>
      <c r="H133" s="20" t="s">
        <v>265</v>
      </c>
      <c r="I133" s="18">
        <v>224</v>
      </c>
      <c r="J133" s="18">
        <v>13</v>
      </c>
      <c r="K133" s="18"/>
      <c r="L133" s="18">
        <v>3</v>
      </c>
      <c r="M133" s="18" t="str">
        <f t="shared" si="3"/>
        <v>402</v>
      </c>
      <c r="N133" s="18">
        <v>57</v>
      </c>
      <c r="O133" s="18">
        <v>103</v>
      </c>
      <c r="P133" s="20" t="s">
        <v>266</v>
      </c>
      <c r="Q133" s="20" t="s">
        <v>267</v>
      </c>
      <c r="R133" s="20">
        <v>200</v>
      </c>
      <c r="S133" s="18">
        <v>300</v>
      </c>
      <c r="T133" s="20" t="s">
        <v>268</v>
      </c>
      <c r="U133" s="18" t="s">
        <v>269</v>
      </c>
      <c r="V133" s="18"/>
      <c r="W133" s="18">
        <v>2</v>
      </c>
      <c r="X133" s="18" t="s">
        <v>92</v>
      </c>
      <c r="Y133" s="7" t="s">
        <v>262</v>
      </c>
      <c r="Z133" s="7">
        <v>35</v>
      </c>
      <c r="AA133" s="18" t="s">
        <v>150</v>
      </c>
      <c r="AB133" s="18">
        <v>1</v>
      </c>
      <c r="AC133" s="20">
        <v>18</v>
      </c>
      <c r="AD133" s="20">
        <v>30</v>
      </c>
    </row>
    <row r="134" spans="2:30">
      <c r="B134" s="18">
        <v>40210</v>
      </c>
      <c r="C134" s="20" t="s">
        <v>264</v>
      </c>
      <c r="D134" s="20"/>
      <c r="E134" s="18">
        <v>10</v>
      </c>
      <c r="F134" s="19" t="str">
        <f t="shared" si="2"/>
        <v>4</v>
      </c>
      <c r="G134" s="18">
        <f>G$5+INT((ROWS(G$5:G133))/10)</f>
        <v>13</v>
      </c>
      <c r="H134" s="20" t="s">
        <v>265</v>
      </c>
      <c r="I134" s="18">
        <v>274</v>
      </c>
      <c r="J134" s="18">
        <v>14</v>
      </c>
      <c r="K134" s="18"/>
      <c r="L134" s="18">
        <v>3</v>
      </c>
      <c r="M134" s="18" t="str">
        <f t="shared" si="3"/>
        <v>402</v>
      </c>
      <c r="N134" s="18">
        <v>60</v>
      </c>
      <c r="O134" s="18">
        <v>97</v>
      </c>
      <c r="P134" s="20" t="s">
        <v>266</v>
      </c>
      <c r="Q134" s="20" t="s">
        <v>267</v>
      </c>
      <c r="R134" s="20">
        <v>200</v>
      </c>
      <c r="S134" s="18">
        <v>300</v>
      </c>
      <c r="T134" s="20" t="s">
        <v>268</v>
      </c>
      <c r="U134" s="18" t="s">
        <v>269</v>
      </c>
      <c r="V134" s="18"/>
      <c r="W134" s="18">
        <v>2</v>
      </c>
      <c r="X134" s="18" t="s">
        <v>92</v>
      </c>
      <c r="Y134" s="7" t="s">
        <v>263</v>
      </c>
      <c r="Z134" s="7">
        <v>40</v>
      </c>
      <c r="AA134" s="18" t="s">
        <v>150</v>
      </c>
      <c r="AB134" s="18">
        <v>1</v>
      </c>
      <c r="AC134" s="20">
        <v>20</v>
      </c>
      <c r="AD134" s="20">
        <v>30</v>
      </c>
    </row>
    <row r="135" spans="2:30">
      <c r="B135" s="18">
        <v>40301</v>
      </c>
      <c r="C135" s="20" t="s">
        <v>270</v>
      </c>
      <c r="D135" s="20"/>
      <c r="E135" s="18">
        <v>1</v>
      </c>
      <c r="F135" s="19" t="str">
        <f t="shared" si="2"/>
        <v>4</v>
      </c>
      <c r="G135" s="18">
        <f>G$5+INT((ROWS(G$5:G134))/10)</f>
        <v>14</v>
      </c>
      <c r="H135" s="20" t="s">
        <v>271</v>
      </c>
      <c r="I135" s="18">
        <v>7</v>
      </c>
      <c r="J135" s="18">
        <v>4</v>
      </c>
      <c r="K135" s="18"/>
      <c r="L135" s="18">
        <v>3</v>
      </c>
      <c r="M135" s="18" t="str">
        <f t="shared" si="3"/>
        <v>403</v>
      </c>
      <c r="N135" s="18">
        <v>40</v>
      </c>
      <c r="O135" s="18">
        <v>295</v>
      </c>
      <c r="P135" s="20" t="s">
        <v>272</v>
      </c>
      <c r="Q135" s="20" t="s">
        <v>273</v>
      </c>
      <c r="R135" s="20">
        <v>200</v>
      </c>
      <c r="S135" s="18">
        <v>300</v>
      </c>
      <c r="T135" s="20" t="s">
        <v>274</v>
      </c>
      <c r="U135" s="18" t="s">
        <v>275</v>
      </c>
      <c r="V135" s="18"/>
      <c r="W135" s="18">
        <v>2</v>
      </c>
      <c r="X135" s="18" t="s">
        <v>92</v>
      </c>
      <c r="Y135" s="7" t="s">
        <v>254</v>
      </c>
      <c r="Z135" s="6">
        <v>1</v>
      </c>
      <c r="AA135" s="18" t="s">
        <v>150</v>
      </c>
      <c r="AB135" s="18">
        <v>1</v>
      </c>
      <c r="AC135" s="20">
        <v>2</v>
      </c>
      <c r="AD135" s="20">
        <v>50</v>
      </c>
    </row>
    <row r="136" spans="2:30">
      <c r="B136" s="18">
        <v>40302</v>
      </c>
      <c r="C136" s="20" t="s">
        <v>270</v>
      </c>
      <c r="D136" s="20"/>
      <c r="E136" s="18">
        <v>2</v>
      </c>
      <c r="F136" s="19" t="str">
        <f t="shared" si="2"/>
        <v>4</v>
      </c>
      <c r="G136" s="18">
        <f>G$5+INT((ROWS(G$5:G135))/10)</f>
        <v>14</v>
      </c>
      <c r="H136" s="20" t="s">
        <v>271</v>
      </c>
      <c r="I136" s="18">
        <v>22</v>
      </c>
      <c r="J136" s="18">
        <v>4</v>
      </c>
      <c r="K136" s="18"/>
      <c r="L136" s="18">
        <v>3</v>
      </c>
      <c r="M136" s="18" t="str">
        <f t="shared" si="3"/>
        <v>403</v>
      </c>
      <c r="N136" s="18">
        <v>44</v>
      </c>
      <c r="O136" s="18">
        <v>284</v>
      </c>
      <c r="P136" s="20" t="s">
        <v>272</v>
      </c>
      <c r="Q136" s="20" t="s">
        <v>273</v>
      </c>
      <c r="R136" s="20">
        <v>200</v>
      </c>
      <c r="S136" s="18">
        <v>300</v>
      </c>
      <c r="T136" s="20" t="s">
        <v>274</v>
      </c>
      <c r="U136" s="18" t="s">
        <v>275</v>
      </c>
      <c r="V136" s="18"/>
      <c r="W136" s="18">
        <v>2</v>
      </c>
      <c r="X136" s="18" t="s">
        <v>92</v>
      </c>
      <c r="Y136" s="7" t="s">
        <v>255</v>
      </c>
      <c r="Z136" s="7">
        <v>3</v>
      </c>
      <c r="AA136" s="18" t="s">
        <v>150</v>
      </c>
      <c r="AB136" s="18">
        <v>1</v>
      </c>
      <c r="AC136" s="20">
        <v>4</v>
      </c>
      <c r="AD136" s="20">
        <v>50</v>
      </c>
    </row>
    <row r="137" spans="2:30">
      <c r="B137" s="18">
        <v>40303</v>
      </c>
      <c r="C137" s="20" t="s">
        <v>270</v>
      </c>
      <c r="D137" s="20"/>
      <c r="E137" s="18">
        <v>3</v>
      </c>
      <c r="F137" s="19" t="str">
        <f t="shared" si="2"/>
        <v>4</v>
      </c>
      <c r="G137" s="18">
        <f>G$5+INT((ROWS(G$5:G136))/10)</f>
        <v>14</v>
      </c>
      <c r="H137" s="20" t="s">
        <v>271</v>
      </c>
      <c r="I137" s="18">
        <v>45</v>
      </c>
      <c r="J137" s="18">
        <v>6</v>
      </c>
      <c r="K137" s="18"/>
      <c r="L137" s="18">
        <v>3</v>
      </c>
      <c r="M137" s="18" t="str">
        <f t="shared" si="3"/>
        <v>403</v>
      </c>
      <c r="N137" s="18">
        <v>49</v>
      </c>
      <c r="O137" s="18">
        <v>273</v>
      </c>
      <c r="P137" s="20" t="s">
        <v>272</v>
      </c>
      <c r="Q137" s="20" t="s">
        <v>273</v>
      </c>
      <c r="R137" s="20">
        <v>200</v>
      </c>
      <c r="S137" s="18">
        <v>300</v>
      </c>
      <c r="T137" s="20" t="s">
        <v>274</v>
      </c>
      <c r="U137" s="18" t="s">
        <v>275</v>
      </c>
      <c r="V137" s="18"/>
      <c r="W137" s="18">
        <v>2</v>
      </c>
      <c r="X137" s="18" t="s">
        <v>92</v>
      </c>
      <c r="Y137" s="7" t="s">
        <v>256</v>
      </c>
      <c r="Z137" s="7">
        <v>5</v>
      </c>
      <c r="AA137" s="18" t="s">
        <v>150</v>
      </c>
      <c r="AB137" s="18">
        <v>1</v>
      </c>
      <c r="AC137" s="20">
        <v>6</v>
      </c>
      <c r="AD137" s="20">
        <v>50</v>
      </c>
    </row>
    <row r="138" spans="2:30">
      <c r="B138" s="18">
        <v>40304</v>
      </c>
      <c r="C138" s="20" t="s">
        <v>270</v>
      </c>
      <c r="D138" s="20"/>
      <c r="E138" s="18">
        <v>4</v>
      </c>
      <c r="F138" s="19" t="str">
        <f t="shared" si="2"/>
        <v>4</v>
      </c>
      <c r="G138" s="18">
        <f>G$5+INT((ROWS(G$5:G137))/10)</f>
        <v>14</v>
      </c>
      <c r="H138" s="20" t="s">
        <v>271</v>
      </c>
      <c r="I138" s="18">
        <v>79</v>
      </c>
      <c r="J138" s="18">
        <v>6</v>
      </c>
      <c r="K138" s="18"/>
      <c r="L138" s="18">
        <v>3</v>
      </c>
      <c r="M138" s="18" t="str">
        <f t="shared" si="3"/>
        <v>403</v>
      </c>
      <c r="N138" s="18">
        <v>53</v>
      </c>
      <c r="O138" s="18">
        <v>262</v>
      </c>
      <c r="P138" s="20" t="s">
        <v>272</v>
      </c>
      <c r="Q138" s="20" t="s">
        <v>273</v>
      </c>
      <c r="R138" s="20">
        <v>200</v>
      </c>
      <c r="S138" s="18">
        <v>300</v>
      </c>
      <c r="T138" s="20" t="s">
        <v>274</v>
      </c>
      <c r="U138" s="18" t="s">
        <v>275</v>
      </c>
      <c r="V138" s="18"/>
      <c r="W138" s="18">
        <v>2</v>
      </c>
      <c r="X138" s="18" t="s">
        <v>92</v>
      </c>
      <c r="Y138" s="7" t="s">
        <v>257</v>
      </c>
      <c r="Z138" s="7">
        <v>10</v>
      </c>
      <c r="AA138" s="18" t="s">
        <v>150</v>
      </c>
      <c r="AB138" s="18">
        <v>1</v>
      </c>
      <c r="AC138" s="20">
        <v>8</v>
      </c>
      <c r="AD138" s="20">
        <v>50</v>
      </c>
    </row>
    <row r="139" spans="2:30">
      <c r="B139" s="18">
        <v>40305</v>
      </c>
      <c r="C139" s="20" t="s">
        <v>270</v>
      </c>
      <c r="D139" s="20"/>
      <c r="E139" s="18">
        <v>5</v>
      </c>
      <c r="F139" s="19" t="str">
        <f t="shared" si="2"/>
        <v>4</v>
      </c>
      <c r="G139" s="18">
        <f>G$5+INT((ROWS(G$5:G138))/10)</f>
        <v>14</v>
      </c>
      <c r="H139" s="20" t="s">
        <v>271</v>
      </c>
      <c r="I139" s="18">
        <v>96</v>
      </c>
      <c r="J139" s="18">
        <v>7</v>
      </c>
      <c r="K139" s="18"/>
      <c r="L139" s="18">
        <v>3</v>
      </c>
      <c r="M139" s="18" t="str">
        <f t="shared" si="3"/>
        <v>403</v>
      </c>
      <c r="N139" s="18">
        <v>58</v>
      </c>
      <c r="O139" s="18">
        <v>251</v>
      </c>
      <c r="P139" s="20" t="s">
        <v>272</v>
      </c>
      <c r="Q139" s="20" t="s">
        <v>273</v>
      </c>
      <c r="R139" s="20">
        <v>200</v>
      </c>
      <c r="S139" s="18">
        <v>300</v>
      </c>
      <c r="T139" s="20" t="s">
        <v>274</v>
      </c>
      <c r="U139" s="18" t="s">
        <v>275</v>
      </c>
      <c r="V139" s="18"/>
      <c r="W139" s="18">
        <v>2</v>
      </c>
      <c r="X139" s="18" t="s">
        <v>92</v>
      </c>
      <c r="Y139" s="7" t="s">
        <v>258</v>
      </c>
      <c r="Z139" s="7">
        <v>15</v>
      </c>
      <c r="AA139" s="18" t="s">
        <v>150</v>
      </c>
      <c r="AB139" s="18">
        <v>1</v>
      </c>
      <c r="AC139" s="20">
        <v>10</v>
      </c>
      <c r="AD139" s="20">
        <v>50</v>
      </c>
    </row>
    <row r="140" spans="2:30">
      <c r="B140" s="18">
        <v>40306</v>
      </c>
      <c r="C140" s="20" t="s">
        <v>270</v>
      </c>
      <c r="D140" s="20"/>
      <c r="E140" s="18">
        <v>6</v>
      </c>
      <c r="F140" s="19" t="str">
        <f t="shared" si="2"/>
        <v>4</v>
      </c>
      <c r="G140" s="18">
        <f>G$5+INT((ROWS(G$5:G139))/10)</f>
        <v>14</v>
      </c>
      <c r="H140" s="20" t="s">
        <v>271</v>
      </c>
      <c r="I140" s="18">
        <v>129</v>
      </c>
      <c r="J140" s="18">
        <v>10</v>
      </c>
      <c r="K140" s="18"/>
      <c r="L140" s="18">
        <v>3</v>
      </c>
      <c r="M140" s="18" t="str">
        <f t="shared" si="3"/>
        <v>403</v>
      </c>
      <c r="N140" s="18">
        <v>62</v>
      </c>
      <c r="O140" s="18">
        <v>240</v>
      </c>
      <c r="P140" s="20" t="s">
        <v>272</v>
      </c>
      <c r="Q140" s="20" t="s">
        <v>273</v>
      </c>
      <c r="R140" s="20">
        <v>200</v>
      </c>
      <c r="S140" s="18">
        <v>300</v>
      </c>
      <c r="T140" s="20" t="s">
        <v>274</v>
      </c>
      <c r="U140" s="18" t="s">
        <v>275</v>
      </c>
      <c r="V140" s="18"/>
      <c r="W140" s="18">
        <v>2</v>
      </c>
      <c r="X140" s="18" t="s">
        <v>92</v>
      </c>
      <c r="Y140" s="7" t="s">
        <v>259</v>
      </c>
      <c r="Z140" s="7">
        <v>20</v>
      </c>
      <c r="AA140" s="18" t="s">
        <v>150</v>
      </c>
      <c r="AB140" s="18">
        <v>1</v>
      </c>
      <c r="AC140" s="20">
        <v>12</v>
      </c>
      <c r="AD140" s="20">
        <v>50</v>
      </c>
    </row>
    <row r="141" spans="2:30">
      <c r="B141" s="18">
        <v>40307</v>
      </c>
      <c r="C141" s="20" t="s">
        <v>270</v>
      </c>
      <c r="D141" s="20"/>
      <c r="E141" s="18">
        <v>7</v>
      </c>
      <c r="F141" s="19" t="str">
        <f t="shared" si="2"/>
        <v>4</v>
      </c>
      <c r="G141" s="18">
        <f>G$5+INT((ROWS(G$5:G140))/10)</f>
        <v>14</v>
      </c>
      <c r="H141" s="20" t="s">
        <v>271</v>
      </c>
      <c r="I141" s="18">
        <v>173</v>
      </c>
      <c r="J141" s="18">
        <v>10</v>
      </c>
      <c r="K141" s="18"/>
      <c r="L141" s="18">
        <v>3</v>
      </c>
      <c r="M141" s="18" t="str">
        <f t="shared" si="3"/>
        <v>403</v>
      </c>
      <c r="N141" s="18">
        <v>67</v>
      </c>
      <c r="O141" s="18">
        <v>229</v>
      </c>
      <c r="P141" s="20" t="s">
        <v>272</v>
      </c>
      <c r="Q141" s="20" t="s">
        <v>273</v>
      </c>
      <c r="R141" s="20">
        <v>200</v>
      </c>
      <c r="S141" s="18">
        <v>300</v>
      </c>
      <c r="T141" s="20" t="s">
        <v>274</v>
      </c>
      <c r="U141" s="18" t="s">
        <v>275</v>
      </c>
      <c r="V141" s="18"/>
      <c r="W141" s="18">
        <v>2</v>
      </c>
      <c r="X141" s="18" t="s">
        <v>92</v>
      </c>
      <c r="Y141" s="7" t="s">
        <v>260</v>
      </c>
      <c r="Z141" s="7">
        <v>25</v>
      </c>
      <c r="AA141" s="18" t="s">
        <v>150</v>
      </c>
      <c r="AB141" s="18">
        <v>1</v>
      </c>
      <c r="AC141" s="20">
        <v>14</v>
      </c>
      <c r="AD141" s="20">
        <v>50</v>
      </c>
    </row>
    <row r="142" spans="2:30">
      <c r="B142" s="18">
        <v>40308</v>
      </c>
      <c r="C142" s="20" t="s">
        <v>270</v>
      </c>
      <c r="D142" s="20"/>
      <c r="E142" s="18">
        <v>8</v>
      </c>
      <c r="F142" s="19" t="str">
        <f t="shared" si="2"/>
        <v>4</v>
      </c>
      <c r="G142" s="18">
        <f>G$5+INT((ROWS(G$5:G141))/10)</f>
        <v>14</v>
      </c>
      <c r="H142" s="20" t="s">
        <v>271</v>
      </c>
      <c r="I142" s="18">
        <v>187</v>
      </c>
      <c r="J142" s="18">
        <v>11</v>
      </c>
      <c r="K142" s="18"/>
      <c r="L142" s="18">
        <v>3</v>
      </c>
      <c r="M142" s="18" t="str">
        <f t="shared" si="3"/>
        <v>403</v>
      </c>
      <c r="N142" s="18">
        <v>71</v>
      </c>
      <c r="O142" s="18">
        <v>219</v>
      </c>
      <c r="P142" s="20" t="s">
        <v>272</v>
      </c>
      <c r="Q142" s="20" t="s">
        <v>273</v>
      </c>
      <c r="R142" s="20">
        <v>200</v>
      </c>
      <c r="S142" s="18">
        <v>300</v>
      </c>
      <c r="T142" s="20" t="s">
        <v>274</v>
      </c>
      <c r="U142" s="18" t="s">
        <v>275</v>
      </c>
      <c r="V142" s="18"/>
      <c r="W142" s="18">
        <v>2</v>
      </c>
      <c r="X142" s="18" t="s">
        <v>92</v>
      </c>
      <c r="Y142" s="7" t="s">
        <v>261</v>
      </c>
      <c r="Z142" s="7">
        <v>30</v>
      </c>
      <c r="AA142" s="18" t="s">
        <v>150</v>
      </c>
      <c r="AB142" s="18">
        <v>1</v>
      </c>
      <c r="AC142" s="20">
        <v>16</v>
      </c>
      <c r="AD142" s="20">
        <v>50</v>
      </c>
    </row>
    <row r="143" spans="2:30">
      <c r="B143" s="18">
        <v>40309</v>
      </c>
      <c r="C143" s="20" t="s">
        <v>270</v>
      </c>
      <c r="D143" s="20"/>
      <c r="E143" s="18">
        <v>9</v>
      </c>
      <c r="F143" s="19" t="str">
        <f t="shared" si="2"/>
        <v>4</v>
      </c>
      <c r="G143" s="18">
        <f>G$5+INT((ROWS(G$5:G142))/10)</f>
        <v>14</v>
      </c>
      <c r="H143" s="20" t="s">
        <v>271</v>
      </c>
      <c r="I143" s="18">
        <v>224</v>
      </c>
      <c r="J143" s="18">
        <v>13</v>
      </c>
      <c r="K143" s="18"/>
      <c r="L143" s="18">
        <v>3</v>
      </c>
      <c r="M143" s="18" t="str">
        <f t="shared" si="3"/>
        <v>403</v>
      </c>
      <c r="N143" s="18">
        <v>76</v>
      </c>
      <c r="O143" s="18">
        <v>208</v>
      </c>
      <c r="P143" s="20" t="s">
        <v>272</v>
      </c>
      <c r="Q143" s="20" t="s">
        <v>273</v>
      </c>
      <c r="R143" s="20">
        <v>200</v>
      </c>
      <c r="S143" s="18">
        <v>300</v>
      </c>
      <c r="T143" s="20" t="s">
        <v>274</v>
      </c>
      <c r="U143" s="18" t="s">
        <v>275</v>
      </c>
      <c r="V143" s="18"/>
      <c r="W143" s="18">
        <v>2</v>
      </c>
      <c r="X143" s="18" t="s">
        <v>92</v>
      </c>
      <c r="Y143" s="7" t="s">
        <v>262</v>
      </c>
      <c r="Z143" s="7">
        <v>35</v>
      </c>
      <c r="AA143" s="18" t="s">
        <v>150</v>
      </c>
      <c r="AB143" s="18">
        <v>1</v>
      </c>
      <c r="AC143" s="20">
        <v>18</v>
      </c>
      <c r="AD143" s="20">
        <v>50</v>
      </c>
    </row>
    <row r="144" spans="2:30">
      <c r="B144" s="18">
        <v>40310</v>
      </c>
      <c r="C144" s="20" t="s">
        <v>270</v>
      </c>
      <c r="D144" s="20"/>
      <c r="E144" s="18">
        <v>10</v>
      </c>
      <c r="F144" s="19" t="str">
        <f t="shared" ref="F144:F207" si="4">LEFT(TEXT(B144,"0"),1)</f>
        <v>4</v>
      </c>
      <c r="G144" s="18">
        <f>G$5+INT((ROWS(G$5:G143))/10)</f>
        <v>14</v>
      </c>
      <c r="H144" s="20" t="s">
        <v>271</v>
      </c>
      <c r="I144" s="18">
        <v>274</v>
      </c>
      <c r="J144" s="18">
        <v>14</v>
      </c>
      <c r="K144" s="18"/>
      <c r="L144" s="18">
        <v>3</v>
      </c>
      <c r="M144" s="18" t="str">
        <f t="shared" si="3"/>
        <v>403</v>
      </c>
      <c r="N144" s="18">
        <v>80</v>
      </c>
      <c r="O144" s="18">
        <v>197</v>
      </c>
      <c r="P144" s="20" t="s">
        <v>272</v>
      </c>
      <c r="Q144" s="20" t="s">
        <v>273</v>
      </c>
      <c r="R144" s="20">
        <v>200</v>
      </c>
      <c r="S144" s="18">
        <v>300</v>
      </c>
      <c r="T144" s="20" t="s">
        <v>274</v>
      </c>
      <c r="U144" s="18" t="s">
        <v>275</v>
      </c>
      <c r="V144" s="18"/>
      <c r="W144" s="18">
        <v>2</v>
      </c>
      <c r="X144" s="18" t="s">
        <v>92</v>
      </c>
      <c r="Y144" s="7" t="s">
        <v>263</v>
      </c>
      <c r="Z144" s="7">
        <v>40</v>
      </c>
      <c r="AA144" s="18" t="s">
        <v>150</v>
      </c>
      <c r="AB144" s="18">
        <v>1</v>
      </c>
      <c r="AC144" s="20">
        <v>20</v>
      </c>
      <c r="AD144" s="20">
        <v>50</v>
      </c>
    </row>
    <row r="145" spans="2:30">
      <c r="B145" s="18">
        <v>40401</v>
      </c>
      <c r="C145" s="20" t="s">
        <v>276</v>
      </c>
      <c r="D145" s="20"/>
      <c r="E145" s="18">
        <v>1</v>
      </c>
      <c r="F145" s="19" t="str">
        <f t="shared" si="4"/>
        <v>4</v>
      </c>
      <c r="G145" s="18">
        <f>G$5+INT((ROWS(G$5:G144))/10)</f>
        <v>15</v>
      </c>
      <c r="H145" s="20">
        <v>1</v>
      </c>
      <c r="I145" s="18">
        <v>7</v>
      </c>
      <c r="J145" s="18">
        <v>4</v>
      </c>
      <c r="K145" s="18"/>
      <c r="L145" s="18">
        <v>3</v>
      </c>
      <c r="M145" s="18" t="str">
        <f t="shared" si="3"/>
        <v>404</v>
      </c>
      <c r="N145" s="18">
        <v>25</v>
      </c>
      <c r="O145" s="18">
        <v>68</v>
      </c>
      <c r="P145" s="20" t="s">
        <v>277</v>
      </c>
      <c r="Q145" s="20" t="s">
        <v>278</v>
      </c>
      <c r="R145" s="20">
        <v>200</v>
      </c>
      <c r="S145" s="18">
        <v>300</v>
      </c>
      <c r="T145" s="20" t="s">
        <v>279</v>
      </c>
      <c r="U145" s="18" t="s">
        <v>280</v>
      </c>
      <c r="V145" s="18"/>
      <c r="W145" s="18">
        <v>2</v>
      </c>
      <c r="X145" s="18" t="s">
        <v>92</v>
      </c>
      <c r="Y145" s="7" t="s">
        <v>254</v>
      </c>
      <c r="Z145" s="6">
        <v>1</v>
      </c>
      <c r="AA145" s="18" t="s">
        <v>150</v>
      </c>
      <c r="AB145" s="18">
        <v>1</v>
      </c>
      <c r="AC145" s="20">
        <v>2</v>
      </c>
      <c r="AD145" s="20">
        <v>20</v>
      </c>
    </row>
    <row r="146" spans="2:30">
      <c r="B146" s="18">
        <v>40402</v>
      </c>
      <c r="C146" s="20" t="s">
        <v>276</v>
      </c>
      <c r="D146" s="20"/>
      <c r="E146" s="18">
        <v>2</v>
      </c>
      <c r="F146" s="19" t="str">
        <f t="shared" si="4"/>
        <v>4</v>
      </c>
      <c r="G146" s="18">
        <f>G$5+INT((ROWS(G$5:G145))/10)</f>
        <v>15</v>
      </c>
      <c r="H146" s="20">
        <v>1</v>
      </c>
      <c r="I146" s="18">
        <v>22</v>
      </c>
      <c r="J146" s="18">
        <v>4</v>
      </c>
      <c r="K146" s="18"/>
      <c r="L146" s="18">
        <v>3</v>
      </c>
      <c r="M146" s="18" t="str">
        <f t="shared" si="3"/>
        <v>404</v>
      </c>
      <c r="N146" s="18">
        <v>28</v>
      </c>
      <c r="O146" s="18">
        <v>65</v>
      </c>
      <c r="P146" s="20" t="s">
        <v>277</v>
      </c>
      <c r="Q146" s="20" t="s">
        <v>278</v>
      </c>
      <c r="R146" s="20">
        <v>200</v>
      </c>
      <c r="S146" s="18">
        <v>300</v>
      </c>
      <c r="T146" s="20" t="s">
        <v>279</v>
      </c>
      <c r="U146" s="18" t="s">
        <v>280</v>
      </c>
      <c r="V146" s="18"/>
      <c r="W146" s="18">
        <v>2</v>
      </c>
      <c r="X146" s="18" t="s">
        <v>92</v>
      </c>
      <c r="Y146" s="7" t="s">
        <v>255</v>
      </c>
      <c r="Z146" s="7">
        <v>3</v>
      </c>
      <c r="AA146" s="18" t="s">
        <v>150</v>
      </c>
      <c r="AB146" s="18">
        <v>1</v>
      </c>
      <c r="AC146" s="20">
        <v>4</v>
      </c>
      <c r="AD146" s="20">
        <v>20</v>
      </c>
    </row>
    <row r="147" spans="2:30">
      <c r="B147" s="18">
        <v>40403</v>
      </c>
      <c r="C147" s="20" t="s">
        <v>276</v>
      </c>
      <c r="D147" s="20"/>
      <c r="E147" s="18">
        <v>3</v>
      </c>
      <c r="F147" s="19" t="str">
        <f t="shared" si="4"/>
        <v>4</v>
      </c>
      <c r="G147" s="18">
        <f>G$5+INT((ROWS(G$5:G146))/10)</f>
        <v>15</v>
      </c>
      <c r="H147" s="20">
        <v>1</v>
      </c>
      <c r="I147" s="18">
        <v>45</v>
      </c>
      <c r="J147" s="18">
        <v>6</v>
      </c>
      <c r="K147" s="18"/>
      <c r="L147" s="18">
        <v>3</v>
      </c>
      <c r="M147" s="18" t="str">
        <f t="shared" si="3"/>
        <v>404</v>
      </c>
      <c r="N147" s="18">
        <v>31</v>
      </c>
      <c r="O147" s="18">
        <v>63</v>
      </c>
      <c r="P147" s="20" t="s">
        <v>277</v>
      </c>
      <c r="Q147" s="20" t="s">
        <v>278</v>
      </c>
      <c r="R147" s="20">
        <v>200</v>
      </c>
      <c r="S147" s="18">
        <v>300</v>
      </c>
      <c r="T147" s="20" t="s">
        <v>279</v>
      </c>
      <c r="U147" s="18" t="s">
        <v>280</v>
      </c>
      <c r="V147" s="18"/>
      <c r="W147" s="18">
        <v>2</v>
      </c>
      <c r="X147" s="18" t="s">
        <v>92</v>
      </c>
      <c r="Y147" s="7" t="s">
        <v>256</v>
      </c>
      <c r="Z147" s="7">
        <v>5</v>
      </c>
      <c r="AA147" s="18" t="s">
        <v>150</v>
      </c>
      <c r="AB147" s="18">
        <v>1</v>
      </c>
      <c r="AC147" s="20">
        <v>6</v>
      </c>
      <c r="AD147" s="20">
        <v>20</v>
      </c>
    </row>
    <row r="148" spans="2:30">
      <c r="B148" s="18">
        <v>40404</v>
      </c>
      <c r="C148" s="20" t="s">
        <v>276</v>
      </c>
      <c r="D148" s="20"/>
      <c r="E148" s="18">
        <v>4</v>
      </c>
      <c r="F148" s="19" t="str">
        <f t="shared" si="4"/>
        <v>4</v>
      </c>
      <c r="G148" s="18">
        <f>G$5+INT((ROWS(G$5:G147))/10)</f>
        <v>15</v>
      </c>
      <c r="H148" s="20">
        <v>1</v>
      </c>
      <c r="I148" s="18">
        <v>79</v>
      </c>
      <c r="J148" s="18">
        <v>6</v>
      </c>
      <c r="K148" s="18"/>
      <c r="L148" s="18">
        <v>3</v>
      </c>
      <c r="M148" s="18" t="str">
        <f t="shared" si="3"/>
        <v>404</v>
      </c>
      <c r="N148" s="18">
        <v>33</v>
      </c>
      <c r="O148" s="18">
        <v>60</v>
      </c>
      <c r="P148" s="20" t="s">
        <v>277</v>
      </c>
      <c r="Q148" s="20" t="s">
        <v>278</v>
      </c>
      <c r="R148" s="20">
        <v>200</v>
      </c>
      <c r="S148" s="18">
        <v>300</v>
      </c>
      <c r="T148" s="20" t="s">
        <v>279</v>
      </c>
      <c r="U148" s="18" t="s">
        <v>280</v>
      </c>
      <c r="V148" s="18"/>
      <c r="W148" s="18">
        <v>2</v>
      </c>
      <c r="X148" s="18" t="s">
        <v>92</v>
      </c>
      <c r="Y148" s="7" t="s">
        <v>257</v>
      </c>
      <c r="Z148" s="7">
        <v>10</v>
      </c>
      <c r="AA148" s="18" t="s">
        <v>150</v>
      </c>
      <c r="AB148" s="18">
        <v>1</v>
      </c>
      <c r="AC148" s="20">
        <v>8</v>
      </c>
      <c r="AD148" s="20">
        <v>20</v>
      </c>
    </row>
    <row r="149" spans="2:30">
      <c r="B149" s="18">
        <v>40405</v>
      </c>
      <c r="C149" s="20" t="s">
        <v>276</v>
      </c>
      <c r="D149" s="20"/>
      <c r="E149" s="18">
        <v>5</v>
      </c>
      <c r="F149" s="19" t="str">
        <f t="shared" si="4"/>
        <v>4</v>
      </c>
      <c r="G149" s="18">
        <f>G$5+INT((ROWS(G$5:G148))/10)</f>
        <v>15</v>
      </c>
      <c r="H149" s="20">
        <v>1</v>
      </c>
      <c r="I149" s="18">
        <v>96</v>
      </c>
      <c r="J149" s="18">
        <v>7</v>
      </c>
      <c r="K149" s="18"/>
      <c r="L149" s="18">
        <v>3</v>
      </c>
      <c r="M149" s="18" t="str">
        <f t="shared" si="3"/>
        <v>404</v>
      </c>
      <c r="N149" s="18">
        <v>36</v>
      </c>
      <c r="O149" s="18">
        <v>58</v>
      </c>
      <c r="P149" s="20" t="s">
        <v>277</v>
      </c>
      <c r="Q149" s="20" t="s">
        <v>278</v>
      </c>
      <c r="R149" s="20">
        <v>200</v>
      </c>
      <c r="S149" s="18">
        <v>300</v>
      </c>
      <c r="T149" s="20" t="s">
        <v>279</v>
      </c>
      <c r="U149" s="18" t="s">
        <v>280</v>
      </c>
      <c r="V149" s="18"/>
      <c r="W149" s="18">
        <v>2</v>
      </c>
      <c r="X149" s="18" t="s">
        <v>92</v>
      </c>
      <c r="Y149" s="7" t="s">
        <v>258</v>
      </c>
      <c r="Z149" s="7">
        <v>15</v>
      </c>
      <c r="AA149" s="18" t="s">
        <v>150</v>
      </c>
      <c r="AB149" s="18">
        <v>1</v>
      </c>
      <c r="AC149" s="20">
        <v>10</v>
      </c>
      <c r="AD149" s="20">
        <v>20</v>
      </c>
    </row>
    <row r="150" spans="2:30">
      <c r="B150" s="18">
        <v>40406</v>
      </c>
      <c r="C150" s="20" t="s">
        <v>276</v>
      </c>
      <c r="D150" s="20"/>
      <c r="E150" s="18">
        <v>6</v>
      </c>
      <c r="F150" s="19" t="str">
        <f t="shared" si="4"/>
        <v>4</v>
      </c>
      <c r="G150" s="18">
        <f>G$5+INT((ROWS(G$5:G149))/10)</f>
        <v>15</v>
      </c>
      <c r="H150" s="20">
        <v>1</v>
      </c>
      <c r="I150" s="18">
        <v>129</v>
      </c>
      <c r="J150" s="18">
        <v>10</v>
      </c>
      <c r="K150" s="18"/>
      <c r="L150" s="18">
        <v>3</v>
      </c>
      <c r="M150" s="18" t="str">
        <f t="shared" si="3"/>
        <v>404</v>
      </c>
      <c r="N150" s="18">
        <v>39</v>
      </c>
      <c r="O150" s="18">
        <v>55</v>
      </c>
      <c r="P150" s="20" t="s">
        <v>277</v>
      </c>
      <c r="Q150" s="20" t="s">
        <v>278</v>
      </c>
      <c r="R150" s="20">
        <v>200</v>
      </c>
      <c r="S150" s="18">
        <v>300</v>
      </c>
      <c r="T150" s="20" t="s">
        <v>279</v>
      </c>
      <c r="U150" s="18" t="s">
        <v>280</v>
      </c>
      <c r="V150" s="18"/>
      <c r="W150" s="18">
        <v>2</v>
      </c>
      <c r="X150" s="18" t="s">
        <v>92</v>
      </c>
      <c r="Y150" s="7" t="s">
        <v>259</v>
      </c>
      <c r="Z150" s="7">
        <v>20</v>
      </c>
      <c r="AA150" s="18" t="s">
        <v>150</v>
      </c>
      <c r="AB150" s="18">
        <v>1</v>
      </c>
      <c r="AC150" s="20">
        <v>12</v>
      </c>
      <c r="AD150" s="20">
        <v>20</v>
      </c>
    </row>
    <row r="151" spans="2:30">
      <c r="B151" s="18">
        <v>40407</v>
      </c>
      <c r="C151" s="20" t="s">
        <v>276</v>
      </c>
      <c r="D151" s="20"/>
      <c r="E151" s="18">
        <v>7</v>
      </c>
      <c r="F151" s="19" t="str">
        <f t="shared" si="4"/>
        <v>4</v>
      </c>
      <c r="G151" s="18">
        <f>G$5+INT((ROWS(G$5:G150))/10)</f>
        <v>15</v>
      </c>
      <c r="H151" s="20">
        <v>1</v>
      </c>
      <c r="I151" s="18">
        <v>173</v>
      </c>
      <c r="J151" s="18">
        <v>10</v>
      </c>
      <c r="K151" s="18"/>
      <c r="L151" s="18">
        <v>3</v>
      </c>
      <c r="M151" s="18" t="str">
        <f t="shared" si="3"/>
        <v>404</v>
      </c>
      <c r="N151" s="18">
        <v>42</v>
      </c>
      <c r="O151" s="18">
        <v>53</v>
      </c>
      <c r="P151" s="20" t="s">
        <v>277</v>
      </c>
      <c r="Q151" s="20" t="s">
        <v>278</v>
      </c>
      <c r="R151" s="20">
        <v>200</v>
      </c>
      <c r="S151" s="18">
        <v>300</v>
      </c>
      <c r="T151" s="20" t="s">
        <v>279</v>
      </c>
      <c r="U151" s="18" t="s">
        <v>280</v>
      </c>
      <c r="V151" s="18"/>
      <c r="W151" s="18">
        <v>2</v>
      </c>
      <c r="X151" s="18" t="s">
        <v>92</v>
      </c>
      <c r="Y151" s="7" t="s">
        <v>260</v>
      </c>
      <c r="Z151" s="7">
        <v>25</v>
      </c>
      <c r="AA151" s="18" t="s">
        <v>150</v>
      </c>
      <c r="AB151" s="18">
        <v>1</v>
      </c>
      <c r="AC151" s="20">
        <v>14</v>
      </c>
      <c r="AD151" s="20">
        <v>20</v>
      </c>
    </row>
    <row r="152" spans="2:30">
      <c r="B152" s="18">
        <v>40408</v>
      </c>
      <c r="C152" s="20" t="s">
        <v>276</v>
      </c>
      <c r="D152" s="20"/>
      <c r="E152" s="18">
        <v>8</v>
      </c>
      <c r="F152" s="19" t="str">
        <f t="shared" si="4"/>
        <v>4</v>
      </c>
      <c r="G152" s="18">
        <f>G$5+INT((ROWS(G$5:G151))/10)</f>
        <v>15</v>
      </c>
      <c r="H152" s="20">
        <v>1</v>
      </c>
      <c r="I152" s="18">
        <v>187</v>
      </c>
      <c r="J152" s="18">
        <v>11</v>
      </c>
      <c r="K152" s="18"/>
      <c r="L152" s="18">
        <v>3</v>
      </c>
      <c r="M152" s="18" t="str">
        <f t="shared" si="3"/>
        <v>404</v>
      </c>
      <c r="N152" s="18">
        <v>44</v>
      </c>
      <c r="O152" s="18">
        <v>50</v>
      </c>
      <c r="P152" s="20" t="s">
        <v>277</v>
      </c>
      <c r="Q152" s="20" t="s">
        <v>278</v>
      </c>
      <c r="R152" s="20">
        <v>200</v>
      </c>
      <c r="S152" s="18">
        <v>300</v>
      </c>
      <c r="T152" s="20" t="s">
        <v>279</v>
      </c>
      <c r="U152" s="18" t="s">
        <v>280</v>
      </c>
      <c r="V152" s="18"/>
      <c r="W152" s="18">
        <v>2</v>
      </c>
      <c r="X152" s="18" t="s">
        <v>92</v>
      </c>
      <c r="Y152" s="7" t="s">
        <v>261</v>
      </c>
      <c r="Z152" s="7">
        <v>30</v>
      </c>
      <c r="AA152" s="18" t="s">
        <v>150</v>
      </c>
      <c r="AB152" s="18">
        <v>1</v>
      </c>
      <c r="AC152" s="20">
        <v>16</v>
      </c>
      <c r="AD152" s="20">
        <v>20</v>
      </c>
    </row>
    <row r="153" spans="2:30">
      <c r="B153" s="18">
        <v>40409</v>
      </c>
      <c r="C153" s="20" t="s">
        <v>276</v>
      </c>
      <c r="D153" s="20"/>
      <c r="E153" s="18">
        <v>9</v>
      </c>
      <c r="F153" s="19" t="str">
        <f t="shared" si="4"/>
        <v>4</v>
      </c>
      <c r="G153" s="18">
        <f>G$5+INT((ROWS(G$5:G152))/10)</f>
        <v>15</v>
      </c>
      <c r="H153" s="20">
        <v>1</v>
      </c>
      <c r="I153" s="18">
        <v>224</v>
      </c>
      <c r="J153" s="18">
        <v>13</v>
      </c>
      <c r="K153" s="18"/>
      <c r="L153" s="18">
        <v>3</v>
      </c>
      <c r="M153" s="18" t="str">
        <f t="shared" si="3"/>
        <v>404</v>
      </c>
      <c r="N153" s="18">
        <v>47</v>
      </c>
      <c r="O153" s="18">
        <v>48</v>
      </c>
      <c r="P153" s="20" t="s">
        <v>277</v>
      </c>
      <c r="Q153" s="20" t="s">
        <v>278</v>
      </c>
      <c r="R153" s="20">
        <v>200</v>
      </c>
      <c r="S153" s="18">
        <v>300</v>
      </c>
      <c r="T153" s="20" t="s">
        <v>279</v>
      </c>
      <c r="U153" s="18" t="s">
        <v>280</v>
      </c>
      <c r="V153" s="18"/>
      <c r="W153" s="18">
        <v>2</v>
      </c>
      <c r="X153" s="18" t="s">
        <v>92</v>
      </c>
      <c r="Y153" s="7" t="s">
        <v>262</v>
      </c>
      <c r="Z153" s="7">
        <v>35</v>
      </c>
      <c r="AA153" s="18" t="s">
        <v>150</v>
      </c>
      <c r="AB153" s="18">
        <v>1</v>
      </c>
      <c r="AC153" s="20">
        <v>18</v>
      </c>
      <c r="AD153" s="20">
        <v>20</v>
      </c>
    </row>
    <row r="154" spans="2:30">
      <c r="B154" s="18">
        <v>40410</v>
      </c>
      <c r="C154" s="20" t="s">
        <v>276</v>
      </c>
      <c r="D154" s="20"/>
      <c r="E154" s="18">
        <v>10</v>
      </c>
      <c r="F154" s="19" t="str">
        <f t="shared" si="4"/>
        <v>4</v>
      </c>
      <c r="G154" s="18">
        <f>G$5+INT((ROWS(G$5:G153))/10)</f>
        <v>15</v>
      </c>
      <c r="H154" s="20">
        <v>1</v>
      </c>
      <c r="I154" s="18">
        <v>274</v>
      </c>
      <c r="J154" s="18">
        <v>14</v>
      </c>
      <c r="K154" s="18"/>
      <c r="L154" s="18">
        <v>3</v>
      </c>
      <c r="M154" s="18" t="str">
        <f t="shared" si="3"/>
        <v>404</v>
      </c>
      <c r="N154" s="18">
        <v>50</v>
      </c>
      <c r="O154" s="18">
        <v>45</v>
      </c>
      <c r="P154" s="20" t="s">
        <v>277</v>
      </c>
      <c r="Q154" s="20" t="s">
        <v>278</v>
      </c>
      <c r="R154" s="20">
        <v>200</v>
      </c>
      <c r="S154" s="18">
        <v>300</v>
      </c>
      <c r="T154" s="20" t="s">
        <v>279</v>
      </c>
      <c r="U154" s="18" t="s">
        <v>280</v>
      </c>
      <c r="V154" s="18"/>
      <c r="W154" s="18">
        <v>2</v>
      </c>
      <c r="X154" s="18" t="s">
        <v>92</v>
      </c>
      <c r="Y154" s="7" t="s">
        <v>263</v>
      </c>
      <c r="Z154" s="7">
        <v>40</v>
      </c>
      <c r="AA154" s="18" t="s">
        <v>150</v>
      </c>
      <c r="AB154" s="18">
        <v>1</v>
      </c>
      <c r="AC154" s="20">
        <v>20</v>
      </c>
      <c r="AD154" s="20">
        <v>20</v>
      </c>
    </row>
    <row r="155" spans="2:30">
      <c r="B155" s="18">
        <v>40501</v>
      </c>
      <c r="C155" s="20" t="s">
        <v>281</v>
      </c>
      <c r="D155" s="20"/>
      <c r="E155" s="18">
        <v>1</v>
      </c>
      <c r="F155" s="19" t="str">
        <f t="shared" si="4"/>
        <v>4</v>
      </c>
      <c r="G155" s="18">
        <f>G$5+INT((ROWS(G$5:G154))/10)</f>
        <v>16</v>
      </c>
      <c r="H155" s="20" t="s">
        <v>265</v>
      </c>
      <c r="I155" s="18">
        <v>7</v>
      </c>
      <c r="J155" s="18">
        <v>4</v>
      </c>
      <c r="K155" s="18"/>
      <c r="L155" s="18">
        <v>3</v>
      </c>
      <c r="M155" s="18" t="str">
        <f t="shared" si="3"/>
        <v>405</v>
      </c>
      <c r="N155" s="18">
        <v>15</v>
      </c>
      <c r="O155" s="18">
        <v>46</v>
      </c>
      <c r="P155" s="20" t="s">
        <v>282</v>
      </c>
      <c r="Q155" s="20" t="s">
        <v>283</v>
      </c>
      <c r="R155" s="20">
        <v>200</v>
      </c>
      <c r="S155" s="18">
        <v>300</v>
      </c>
      <c r="T155" s="20" t="s">
        <v>284</v>
      </c>
      <c r="U155" s="18" t="s">
        <v>285</v>
      </c>
      <c r="V155" s="18"/>
      <c r="W155" s="18">
        <v>2</v>
      </c>
      <c r="X155" s="18" t="s">
        <v>92</v>
      </c>
      <c r="Y155" s="7" t="s">
        <v>254</v>
      </c>
      <c r="Z155" s="6">
        <v>1</v>
      </c>
      <c r="AA155" s="18" t="s">
        <v>150</v>
      </c>
      <c r="AB155" s="18">
        <v>1</v>
      </c>
      <c r="AC155" s="20">
        <v>2</v>
      </c>
      <c r="AD155" s="20">
        <v>15</v>
      </c>
    </row>
    <row r="156" spans="2:30">
      <c r="B156" s="18">
        <v>40502</v>
      </c>
      <c r="C156" s="20" t="s">
        <v>281</v>
      </c>
      <c r="D156" s="20"/>
      <c r="E156" s="18">
        <v>2</v>
      </c>
      <c r="F156" s="19" t="str">
        <f t="shared" si="4"/>
        <v>4</v>
      </c>
      <c r="G156" s="18">
        <f>G$5+INT((ROWS(G$5:G155))/10)</f>
        <v>16</v>
      </c>
      <c r="H156" s="20" t="s">
        <v>265</v>
      </c>
      <c r="I156" s="18">
        <v>22</v>
      </c>
      <c r="J156" s="18">
        <v>4</v>
      </c>
      <c r="K156" s="18"/>
      <c r="L156" s="18">
        <v>3</v>
      </c>
      <c r="M156" s="18" t="str">
        <f t="shared" si="3"/>
        <v>405</v>
      </c>
      <c r="N156" s="18">
        <v>17</v>
      </c>
      <c r="O156" s="18">
        <v>44</v>
      </c>
      <c r="P156" s="20" t="s">
        <v>282</v>
      </c>
      <c r="Q156" s="20" t="s">
        <v>283</v>
      </c>
      <c r="R156" s="20">
        <v>200</v>
      </c>
      <c r="S156" s="18">
        <v>300</v>
      </c>
      <c r="T156" s="20" t="s">
        <v>284</v>
      </c>
      <c r="U156" s="18" t="s">
        <v>285</v>
      </c>
      <c r="V156" s="18"/>
      <c r="W156" s="18">
        <v>2</v>
      </c>
      <c r="X156" s="18" t="s">
        <v>92</v>
      </c>
      <c r="Y156" s="7" t="s">
        <v>255</v>
      </c>
      <c r="Z156" s="7">
        <v>3</v>
      </c>
      <c r="AA156" s="18" t="s">
        <v>150</v>
      </c>
      <c r="AB156" s="18">
        <v>1</v>
      </c>
      <c r="AC156" s="20">
        <v>4</v>
      </c>
      <c r="AD156" s="20">
        <v>15</v>
      </c>
    </row>
    <row r="157" spans="2:30">
      <c r="B157" s="18">
        <v>40503</v>
      </c>
      <c r="C157" s="20" t="s">
        <v>281</v>
      </c>
      <c r="D157" s="20"/>
      <c r="E157" s="18">
        <v>3</v>
      </c>
      <c r="F157" s="19" t="str">
        <f t="shared" si="4"/>
        <v>4</v>
      </c>
      <c r="G157" s="18">
        <f>G$5+INT((ROWS(G$5:G156))/10)</f>
        <v>16</v>
      </c>
      <c r="H157" s="20" t="s">
        <v>265</v>
      </c>
      <c r="I157" s="18">
        <v>45</v>
      </c>
      <c r="J157" s="18">
        <v>6</v>
      </c>
      <c r="K157" s="18"/>
      <c r="L157" s="18">
        <v>3</v>
      </c>
      <c r="M157" s="18" t="str">
        <f t="shared" si="3"/>
        <v>405</v>
      </c>
      <c r="N157" s="18">
        <v>18</v>
      </c>
      <c r="O157" s="18">
        <v>43</v>
      </c>
      <c r="P157" s="20" t="s">
        <v>282</v>
      </c>
      <c r="Q157" s="20" t="s">
        <v>283</v>
      </c>
      <c r="R157" s="20">
        <v>200</v>
      </c>
      <c r="S157" s="18">
        <v>300</v>
      </c>
      <c r="T157" s="20" t="s">
        <v>284</v>
      </c>
      <c r="U157" s="18" t="s">
        <v>285</v>
      </c>
      <c r="V157" s="18"/>
      <c r="W157" s="18">
        <v>2</v>
      </c>
      <c r="X157" s="18" t="s">
        <v>92</v>
      </c>
      <c r="Y157" s="7" t="s">
        <v>256</v>
      </c>
      <c r="Z157" s="7">
        <v>5</v>
      </c>
      <c r="AA157" s="18" t="s">
        <v>150</v>
      </c>
      <c r="AB157" s="18">
        <v>1</v>
      </c>
      <c r="AC157" s="20">
        <v>6</v>
      </c>
      <c r="AD157" s="20">
        <v>15</v>
      </c>
    </row>
    <row r="158" spans="2:30">
      <c r="B158" s="18">
        <v>40504</v>
      </c>
      <c r="C158" s="20" t="s">
        <v>281</v>
      </c>
      <c r="D158" s="20"/>
      <c r="E158" s="18">
        <v>4</v>
      </c>
      <c r="F158" s="19" t="str">
        <f t="shared" si="4"/>
        <v>4</v>
      </c>
      <c r="G158" s="18">
        <f>G$5+INT((ROWS(G$5:G157))/10)</f>
        <v>16</v>
      </c>
      <c r="H158" s="20" t="s">
        <v>265</v>
      </c>
      <c r="I158" s="18">
        <v>79</v>
      </c>
      <c r="J158" s="18">
        <v>6</v>
      </c>
      <c r="K158" s="18"/>
      <c r="L158" s="18">
        <v>3</v>
      </c>
      <c r="M158" s="18" t="str">
        <f t="shared" si="3"/>
        <v>405</v>
      </c>
      <c r="N158" s="18">
        <v>20</v>
      </c>
      <c r="O158" s="18">
        <v>41</v>
      </c>
      <c r="P158" s="20" t="s">
        <v>282</v>
      </c>
      <c r="Q158" s="20" t="s">
        <v>283</v>
      </c>
      <c r="R158" s="20">
        <v>200</v>
      </c>
      <c r="S158" s="18">
        <v>300</v>
      </c>
      <c r="T158" s="20" t="s">
        <v>284</v>
      </c>
      <c r="U158" s="18" t="s">
        <v>285</v>
      </c>
      <c r="V158" s="18"/>
      <c r="W158" s="18">
        <v>2</v>
      </c>
      <c r="X158" s="18" t="s">
        <v>92</v>
      </c>
      <c r="Y158" s="7" t="s">
        <v>257</v>
      </c>
      <c r="Z158" s="7">
        <v>10</v>
      </c>
      <c r="AA158" s="18" t="s">
        <v>150</v>
      </c>
      <c r="AB158" s="18">
        <v>1</v>
      </c>
      <c r="AC158" s="20">
        <v>8</v>
      </c>
      <c r="AD158" s="20">
        <v>15</v>
      </c>
    </row>
    <row r="159" spans="2:30">
      <c r="B159" s="18">
        <v>40505</v>
      </c>
      <c r="C159" s="20" t="s">
        <v>281</v>
      </c>
      <c r="D159" s="20"/>
      <c r="E159" s="18">
        <v>5</v>
      </c>
      <c r="F159" s="19" t="str">
        <f t="shared" si="4"/>
        <v>4</v>
      </c>
      <c r="G159" s="18">
        <f>G$5+INT((ROWS(G$5:G158))/10)</f>
        <v>16</v>
      </c>
      <c r="H159" s="20" t="s">
        <v>265</v>
      </c>
      <c r="I159" s="18">
        <v>96</v>
      </c>
      <c r="J159" s="18">
        <v>7</v>
      </c>
      <c r="K159" s="18"/>
      <c r="L159" s="18">
        <v>3</v>
      </c>
      <c r="M159" s="18" t="str">
        <f t="shared" si="3"/>
        <v>405</v>
      </c>
      <c r="N159" s="18">
        <v>22</v>
      </c>
      <c r="O159" s="18">
        <v>39</v>
      </c>
      <c r="P159" s="20" t="s">
        <v>282</v>
      </c>
      <c r="Q159" s="20" t="s">
        <v>283</v>
      </c>
      <c r="R159" s="20">
        <v>200</v>
      </c>
      <c r="S159" s="18">
        <v>300</v>
      </c>
      <c r="T159" s="20" t="s">
        <v>284</v>
      </c>
      <c r="U159" s="18" t="s">
        <v>285</v>
      </c>
      <c r="V159" s="18"/>
      <c r="W159" s="18">
        <v>2</v>
      </c>
      <c r="X159" s="18" t="s">
        <v>92</v>
      </c>
      <c r="Y159" s="7" t="s">
        <v>258</v>
      </c>
      <c r="Z159" s="7">
        <v>15</v>
      </c>
      <c r="AA159" s="18" t="s">
        <v>150</v>
      </c>
      <c r="AB159" s="18">
        <v>1</v>
      </c>
      <c r="AC159" s="20">
        <v>10</v>
      </c>
      <c r="AD159" s="20">
        <v>15</v>
      </c>
    </row>
    <row r="160" spans="2:30">
      <c r="B160" s="18">
        <v>40506</v>
      </c>
      <c r="C160" s="20" t="s">
        <v>281</v>
      </c>
      <c r="D160" s="20"/>
      <c r="E160" s="18">
        <v>6</v>
      </c>
      <c r="F160" s="19" t="str">
        <f t="shared" si="4"/>
        <v>4</v>
      </c>
      <c r="G160" s="18">
        <f>G$5+INT((ROWS(G$5:G159))/10)</f>
        <v>16</v>
      </c>
      <c r="H160" s="20" t="s">
        <v>265</v>
      </c>
      <c r="I160" s="18">
        <v>129</v>
      </c>
      <c r="J160" s="18">
        <v>10</v>
      </c>
      <c r="K160" s="18"/>
      <c r="L160" s="18">
        <v>3</v>
      </c>
      <c r="M160" s="18" t="str">
        <f t="shared" si="3"/>
        <v>405</v>
      </c>
      <c r="N160" s="18">
        <v>23</v>
      </c>
      <c r="O160" s="18">
        <v>37</v>
      </c>
      <c r="P160" s="20" t="s">
        <v>282</v>
      </c>
      <c r="Q160" s="20" t="s">
        <v>283</v>
      </c>
      <c r="R160" s="20">
        <v>200</v>
      </c>
      <c r="S160" s="18">
        <v>300</v>
      </c>
      <c r="T160" s="20" t="s">
        <v>284</v>
      </c>
      <c r="U160" s="18" t="s">
        <v>285</v>
      </c>
      <c r="V160" s="18"/>
      <c r="W160" s="18">
        <v>2</v>
      </c>
      <c r="X160" s="18" t="s">
        <v>92</v>
      </c>
      <c r="Y160" s="7" t="s">
        <v>259</v>
      </c>
      <c r="Z160" s="7">
        <v>20</v>
      </c>
      <c r="AA160" s="18" t="s">
        <v>150</v>
      </c>
      <c r="AB160" s="18">
        <v>1</v>
      </c>
      <c r="AC160" s="20">
        <v>12</v>
      </c>
      <c r="AD160" s="20">
        <v>15</v>
      </c>
    </row>
    <row r="161" spans="2:30">
      <c r="B161" s="18">
        <v>40507</v>
      </c>
      <c r="C161" s="20" t="s">
        <v>281</v>
      </c>
      <c r="D161" s="20"/>
      <c r="E161" s="18">
        <v>7</v>
      </c>
      <c r="F161" s="19" t="str">
        <f t="shared" si="4"/>
        <v>4</v>
      </c>
      <c r="G161" s="18">
        <f>G$5+INT((ROWS(G$5:G160))/10)</f>
        <v>16</v>
      </c>
      <c r="H161" s="20" t="s">
        <v>265</v>
      </c>
      <c r="I161" s="18">
        <v>173</v>
      </c>
      <c r="J161" s="18">
        <v>10</v>
      </c>
      <c r="K161" s="18"/>
      <c r="L161" s="18">
        <v>3</v>
      </c>
      <c r="M161" s="18" t="str">
        <f t="shared" si="3"/>
        <v>405</v>
      </c>
      <c r="N161" s="18">
        <v>25</v>
      </c>
      <c r="O161" s="18">
        <v>36</v>
      </c>
      <c r="P161" s="20" t="s">
        <v>282</v>
      </c>
      <c r="Q161" s="20" t="s">
        <v>283</v>
      </c>
      <c r="R161" s="20">
        <v>200</v>
      </c>
      <c r="S161" s="18">
        <v>300</v>
      </c>
      <c r="T161" s="20" t="s">
        <v>284</v>
      </c>
      <c r="U161" s="18" t="s">
        <v>285</v>
      </c>
      <c r="V161" s="18"/>
      <c r="W161" s="18">
        <v>2</v>
      </c>
      <c r="X161" s="18" t="s">
        <v>92</v>
      </c>
      <c r="Y161" s="7" t="s">
        <v>260</v>
      </c>
      <c r="Z161" s="7">
        <v>25</v>
      </c>
      <c r="AA161" s="18" t="s">
        <v>150</v>
      </c>
      <c r="AB161" s="18">
        <v>1</v>
      </c>
      <c r="AC161" s="20">
        <v>14</v>
      </c>
      <c r="AD161" s="20">
        <v>15</v>
      </c>
    </row>
    <row r="162" spans="2:30">
      <c r="B162" s="18">
        <v>40508</v>
      </c>
      <c r="C162" s="20" t="s">
        <v>281</v>
      </c>
      <c r="D162" s="20"/>
      <c r="E162" s="18">
        <v>8</v>
      </c>
      <c r="F162" s="19" t="str">
        <f t="shared" si="4"/>
        <v>4</v>
      </c>
      <c r="G162" s="18">
        <f>G$5+INT((ROWS(G$5:G161))/10)</f>
        <v>16</v>
      </c>
      <c r="H162" s="20" t="s">
        <v>265</v>
      </c>
      <c r="I162" s="18">
        <v>187</v>
      </c>
      <c r="J162" s="18">
        <v>11</v>
      </c>
      <c r="K162" s="18"/>
      <c r="L162" s="18">
        <v>3</v>
      </c>
      <c r="M162" s="18" t="str">
        <f t="shared" si="3"/>
        <v>405</v>
      </c>
      <c r="N162" s="18">
        <v>27</v>
      </c>
      <c r="O162" s="18">
        <v>34</v>
      </c>
      <c r="P162" s="20" t="s">
        <v>282</v>
      </c>
      <c r="Q162" s="20" t="s">
        <v>283</v>
      </c>
      <c r="R162" s="20">
        <v>200</v>
      </c>
      <c r="S162" s="18">
        <v>300</v>
      </c>
      <c r="T162" s="20" t="s">
        <v>284</v>
      </c>
      <c r="U162" s="18" t="s">
        <v>285</v>
      </c>
      <c r="V162" s="18"/>
      <c r="W162" s="18">
        <v>2</v>
      </c>
      <c r="X162" s="18" t="s">
        <v>92</v>
      </c>
      <c r="Y162" s="7" t="s">
        <v>261</v>
      </c>
      <c r="Z162" s="7">
        <v>30</v>
      </c>
      <c r="AA162" s="18" t="s">
        <v>150</v>
      </c>
      <c r="AB162" s="18">
        <v>1</v>
      </c>
      <c r="AC162" s="20">
        <v>16</v>
      </c>
      <c r="AD162" s="20">
        <v>15</v>
      </c>
    </row>
    <row r="163" spans="2:30">
      <c r="B163" s="18">
        <v>40509</v>
      </c>
      <c r="C163" s="20" t="s">
        <v>281</v>
      </c>
      <c r="D163" s="20"/>
      <c r="E163" s="18">
        <v>9</v>
      </c>
      <c r="F163" s="19" t="str">
        <f t="shared" si="4"/>
        <v>4</v>
      </c>
      <c r="G163" s="18">
        <f>G$5+INT((ROWS(G$5:G162))/10)</f>
        <v>16</v>
      </c>
      <c r="H163" s="20" t="s">
        <v>265</v>
      </c>
      <c r="I163" s="18">
        <v>224</v>
      </c>
      <c r="J163" s="18">
        <v>13</v>
      </c>
      <c r="K163" s="18"/>
      <c r="L163" s="18">
        <v>3</v>
      </c>
      <c r="M163" s="18" t="str">
        <f t="shared" si="3"/>
        <v>405</v>
      </c>
      <c r="N163" s="18">
        <v>28</v>
      </c>
      <c r="O163" s="18">
        <v>32</v>
      </c>
      <c r="P163" s="20" t="s">
        <v>282</v>
      </c>
      <c r="Q163" s="20" t="s">
        <v>283</v>
      </c>
      <c r="R163" s="20">
        <v>200</v>
      </c>
      <c r="S163" s="18">
        <v>300</v>
      </c>
      <c r="T163" s="20" t="s">
        <v>284</v>
      </c>
      <c r="U163" s="18" t="s">
        <v>285</v>
      </c>
      <c r="V163" s="18"/>
      <c r="W163" s="18">
        <v>2</v>
      </c>
      <c r="X163" s="18" t="s">
        <v>92</v>
      </c>
      <c r="Y163" s="7" t="s">
        <v>262</v>
      </c>
      <c r="Z163" s="7">
        <v>35</v>
      </c>
      <c r="AA163" s="18" t="s">
        <v>150</v>
      </c>
      <c r="AB163" s="18">
        <v>1</v>
      </c>
      <c r="AC163" s="20">
        <v>18</v>
      </c>
      <c r="AD163" s="20">
        <v>15</v>
      </c>
    </row>
    <row r="164" spans="2:30">
      <c r="B164" s="18">
        <v>40510</v>
      </c>
      <c r="C164" s="20" t="s">
        <v>281</v>
      </c>
      <c r="D164" s="20"/>
      <c r="E164" s="18">
        <v>10</v>
      </c>
      <c r="F164" s="19" t="str">
        <f t="shared" si="4"/>
        <v>4</v>
      </c>
      <c r="G164" s="18">
        <f>G$5+INT((ROWS(G$5:G163))/10)</f>
        <v>16</v>
      </c>
      <c r="H164" s="20" t="s">
        <v>265</v>
      </c>
      <c r="I164" s="18">
        <v>274</v>
      </c>
      <c r="J164" s="18">
        <v>14</v>
      </c>
      <c r="K164" s="18"/>
      <c r="L164" s="18">
        <v>3</v>
      </c>
      <c r="M164" s="18" t="str">
        <f t="shared" si="3"/>
        <v>405</v>
      </c>
      <c r="N164" s="18">
        <v>30</v>
      </c>
      <c r="O164" s="18">
        <v>31</v>
      </c>
      <c r="P164" s="20" t="s">
        <v>282</v>
      </c>
      <c r="Q164" s="20" t="s">
        <v>283</v>
      </c>
      <c r="R164" s="20">
        <v>200</v>
      </c>
      <c r="S164" s="18">
        <v>300</v>
      </c>
      <c r="T164" s="20" t="s">
        <v>284</v>
      </c>
      <c r="U164" s="18" t="s">
        <v>285</v>
      </c>
      <c r="V164" s="18"/>
      <c r="W164" s="18">
        <v>2</v>
      </c>
      <c r="X164" s="18" t="s">
        <v>92</v>
      </c>
      <c r="Y164" s="7" t="s">
        <v>263</v>
      </c>
      <c r="Z164" s="7">
        <v>40</v>
      </c>
      <c r="AA164" s="18" t="s">
        <v>150</v>
      </c>
      <c r="AB164" s="18">
        <v>1</v>
      </c>
      <c r="AC164" s="20">
        <v>20</v>
      </c>
      <c r="AD164" s="20">
        <v>15</v>
      </c>
    </row>
    <row r="165" spans="2:30">
      <c r="B165" s="18">
        <v>40601</v>
      </c>
      <c r="C165" s="20" t="s">
        <v>286</v>
      </c>
      <c r="D165" s="20"/>
      <c r="E165" s="18">
        <v>1</v>
      </c>
      <c r="F165" s="19" t="str">
        <f t="shared" si="4"/>
        <v>4</v>
      </c>
      <c r="G165" s="18">
        <f>G$5+INT((ROWS(G$5:G164))/10)</f>
        <v>17</v>
      </c>
      <c r="H165" s="20" t="s">
        <v>287</v>
      </c>
      <c r="I165" s="18">
        <v>7</v>
      </c>
      <c r="J165" s="18">
        <v>4</v>
      </c>
      <c r="K165" s="18"/>
      <c r="L165" s="18">
        <v>3</v>
      </c>
      <c r="M165" s="18" t="str">
        <f t="shared" si="3"/>
        <v>406</v>
      </c>
      <c r="N165" s="18">
        <v>80</v>
      </c>
      <c r="O165" s="18">
        <v>2160</v>
      </c>
      <c r="P165" s="20" t="s">
        <v>288</v>
      </c>
      <c r="Q165" s="20" t="s">
        <v>289</v>
      </c>
      <c r="R165" s="20">
        <v>200</v>
      </c>
      <c r="S165" s="18">
        <v>300</v>
      </c>
      <c r="T165" s="20" t="s">
        <v>290</v>
      </c>
      <c r="U165" s="18" t="s">
        <v>291</v>
      </c>
      <c r="V165" s="18"/>
      <c r="W165" s="18">
        <v>2</v>
      </c>
      <c r="X165" s="18" t="s">
        <v>92</v>
      </c>
      <c r="Y165" s="7" t="s">
        <v>254</v>
      </c>
      <c r="Z165" s="6">
        <v>1</v>
      </c>
      <c r="AA165" s="18" t="s">
        <v>150</v>
      </c>
      <c r="AB165" s="18">
        <v>1</v>
      </c>
      <c r="AC165" s="20">
        <v>2</v>
      </c>
      <c r="AD165" s="20">
        <v>200</v>
      </c>
    </row>
    <row r="166" spans="2:30">
      <c r="B166" s="18">
        <v>40602</v>
      </c>
      <c r="C166" s="20" t="s">
        <v>286</v>
      </c>
      <c r="D166" s="20"/>
      <c r="E166" s="18">
        <v>2</v>
      </c>
      <c r="F166" s="19" t="str">
        <f t="shared" si="4"/>
        <v>4</v>
      </c>
      <c r="G166" s="18">
        <f>G$5+INT((ROWS(G$5:G165))/10)</f>
        <v>17</v>
      </c>
      <c r="H166" s="20" t="s">
        <v>287</v>
      </c>
      <c r="I166" s="18">
        <v>22</v>
      </c>
      <c r="J166" s="18">
        <v>4</v>
      </c>
      <c r="K166" s="18"/>
      <c r="L166" s="18">
        <v>3</v>
      </c>
      <c r="M166" s="18" t="str">
        <f t="shared" si="3"/>
        <v>406</v>
      </c>
      <c r="N166" s="18">
        <v>89</v>
      </c>
      <c r="O166" s="18">
        <v>2080</v>
      </c>
      <c r="P166" s="20" t="s">
        <v>288</v>
      </c>
      <c r="Q166" s="20" t="s">
        <v>289</v>
      </c>
      <c r="R166" s="20">
        <v>200</v>
      </c>
      <c r="S166" s="18">
        <v>300</v>
      </c>
      <c r="T166" s="20" t="s">
        <v>290</v>
      </c>
      <c r="U166" s="18" t="s">
        <v>291</v>
      </c>
      <c r="V166" s="18"/>
      <c r="W166" s="18">
        <v>2</v>
      </c>
      <c r="X166" s="18" t="s">
        <v>92</v>
      </c>
      <c r="Y166" s="7" t="s">
        <v>255</v>
      </c>
      <c r="Z166" s="7">
        <v>3</v>
      </c>
      <c r="AA166" s="18" t="s">
        <v>150</v>
      </c>
      <c r="AB166" s="18">
        <v>1</v>
      </c>
      <c r="AC166" s="20">
        <v>4</v>
      </c>
      <c r="AD166" s="20">
        <v>200</v>
      </c>
    </row>
    <row r="167" spans="2:30">
      <c r="B167" s="18">
        <v>40603</v>
      </c>
      <c r="C167" s="20" t="s">
        <v>286</v>
      </c>
      <c r="D167" s="20"/>
      <c r="E167" s="18">
        <v>3</v>
      </c>
      <c r="F167" s="19" t="str">
        <f t="shared" si="4"/>
        <v>4</v>
      </c>
      <c r="G167" s="18">
        <f>G$5+INT((ROWS(G$5:G166))/10)</f>
        <v>17</v>
      </c>
      <c r="H167" s="20" t="s">
        <v>287</v>
      </c>
      <c r="I167" s="18">
        <v>45</v>
      </c>
      <c r="J167" s="18">
        <v>6</v>
      </c>
      <c r="K167" s="18"/>
      <c r="L167" s="18">
        <v>3</v>
      </c>
      <c r="M167" s="18" t="str">
        <f t="shared" si="3"/>
        <v>406</v>
      </c>
      <c r="N167" s="18">
        <v>98</v>
      </c>
      <c r="O167" s="18">
        <v>2000</v>
      </c>
      <c r="P167" s="20" t="s">
        <v>288</v>
      </c>
      <c r="Q167" s="20" t="s">
        <v>289</v>
      </c>
      <c r="R167" s="20">
        <v>200</v>
      </c>
      <c r="S167" s="18">
        <v>300</v>
      </c>
      <c r="T167" s="20" t="s">
        <v>290</v>
      </c>
      <c r="U167" s="18" t="s">
        <v>291</v>
      </c>
      <c r="V167" s="18"/>
      <c r="W167" s="18">
        <v>2</v>
      </c>
      <c r="X167" s="18" t="s">
        <v>92</v>
      </c>
      <c r="Y167" s="7" t="s">
        <v>256</v>
      </c>
      <c r="Z167" s="7">
        <v>5</v>
      </c>
      <c r="AA167" s="18" t="s">
        <v>150</v>
      </c>
      <c r="AB167" s="18">
        <v>1</v>
      </c>
      <c r="AC167" s="20">
        <v>6</v>
      </c>
      <c r="AD167" s="20">
        <v>200</v>
      </c>
    </row>
    <row r="168" spans="2:30">
      <c r="B168" s="18">
        <v>40604</v>
      </c>
      <c r="C168" s="20" t="s">
        <v>286</v>
      </c>
      <c r="D168" s="20"/>
      <c r="E168" s="18">
        <v>4</v>
      </c>
      <c r="F168" s="19" t="str">
        <f t="shared" si="4"/>
        <v>4</v>
      </c>
      <c r="G168" s="18">
        <f>G$5+INT((ROWS(G$5:G167))/10)</f>
        <v>17</v>
      </c>
      <c r="H168" s="20" t="s">
        <v>287</v>
      </c>
      <c r="I168" s="18">
        <v>79</v>
      </c>
      <c r="J168" s="18">
        <v>6</v>
      </c>
      <c r="K168" s="18"/>
      <c r="L168" s="18">
        <v>3</v>
      </c>
      <c r="M168" s="18" t="str">
        <f t="shared" si="3"/>
        <v>406</v>
      </c>
      <c r="N168" s="18">
        <v>107</v>
      </c>
      <c r="O168" s="18">
        <v>1920</v>
      </c>
      <c r="P168" s="20" t="s">
        <v>288</v>
      </c>
      <c r="Q168" s="20" t="s">
        <v>289</v>
      </c>
      <c r="R168" s="20">
        <v>200</v>
      </c>
      <c r="S168" s="18">
        <v>300</v>
      </c>
      <c r="T168" s="20" t="s">
        <v>290</v>
      </c>
      <c r="U168" s="18" t="s">
        <v>291</v>
      </c>
      <c r="V168" s="18"/>
      <c r="W168" s="18">
        <v>2</v>
      </c>
      <c r="X168" s="18" t="s">
        <v>92</v>
      </c>
      <c r="Y168" s="7" t="s">
        <v>257</v>
      </c>
      <c r="Z168" s="7">
        <v>10</v>
      </c>
      <c r="AA168" s="18" t="s">
        <v>150</v>
      </c>
      <c r="AB168" s="18">
        <v>1</v>
      </c>
      <c r="AC168" s="20">
        <v>8</v>
      </c>
      <c r="AD168" s="20">
        <v>200</v>
      </c>
    </row>
    <row r="169" spans="2:30">
      <c r="B169" s="18">
        <v>40605</v>
      </c>
      <c r="C169" s="20" t="s">
        <v>286</v>
      </c>
      <c r="D169" s="20"/>
      <c r="E169" s="18">
        <v>5</v>
      </c>
      <c r="F169" s="19" t="str">
        <f t="shared" si="4"/>
        <v>4</v>
      </c>
      <c r="G169" s="18">
        <f>G$5+INT((ROWS(G$5:G168))/10)</f>
        <v>17</v>
      </c>
      <c r="H169" s="20" t="s">
        <v>287</v>
      </c>
      <c r="I169" s="18">
        <v>96</v>
      </c>
      <c r="J169" s="18">
        <v>7</v>
      </c>
      <c r="K169" s="18"/>
      <c r="L169" s="18">
        <v>3</v>
      </c>
      <c r="M169" s="18" t="str">
        <f t="shared" si="3"/>
        <v>406</v>
      </c>
      <c r="N169" s="18">
        <v>116</v>
      </c>
      <c r="O169" s="18">
        <v>1840</v>
      </c>
      <c r="P169" s="20" t="s">
        <v>288</v>
      </c>
      <c r="Q169" s="20" t="s">
        <v>289</v>
      </c>
      <c r="R169" s="20">
        <v>200</v>
      </c>
      <c r="S169" s="18">
        <v>300</v>
      </c>
      <c r="T169" s="20" t="s">
        <v>290</v>
      </c>
      <c r="U169" s="18" t="s">
        <v>291</v>
      </c>
      <c r="V169" s="18"/>
      <c r="W169" s="18">
        <v>2</v>
      </c>
      <c r="X169" s="18" t="s">
        <v>92</v>
      </c>
      <c r="Y169" s="7" t="s">
        <v>258</v>
      </c>
      <c r="Z169" s="7">
        <v>15</v>
      </c>
      <c r="AA169" s="18" t="s">
        <v>150</v>
      </c>
      <c r="AB169" s="18">
        <v>1</v>
      </c>
      <c r="AC169" s="20">
        <v>10</v>
      </c>
      <c r="AD169" s="20">
        <v>200</v>
      </c>
    </row>
    <row r="170" spans="2:30">
      <c r="B170" s="18">
        <v>40606</v>
      </c>
      <c r="C170" s="20" t="s">
        <v>286</v>
      </c>
      <c r="D170" s="20"/>
      <c r="E170" s="18">
        <v>6</v>
      </c>
      <c r="F170" s="19" t="str">
        <f t="shared" si="4"/>
        <v>4</v>
      </c>
      <c r="G170" s="18">
        <f>G$5+INT((ROWS(G$5:G169))/10)</f>
        <v>17</v>
      </c>
      <c r="H170" s="20" t="s">
        <v>287</v>
      </c>
      <c r="I170" s="18">
        <v>129</v>
      </c>
      <c r="J170" s="18">
        <v>10</v>
      </c>
      <c r="K170" s="18"/>
      <c r="L170" s="18">
        <v>3</v>
      </c>
      <c r="M170" s="18" t="str">
        <f t="shared" si="3"/>
        <v>406</v>
      </c>
      <c r="N170" s="18">
        <v>124</v>
      </c>
      <c r="O170" s="18">
        <v>1760</v>
      </c>
      <c r="P170" s="20" t="s">
        <v>288</v>
      </c>
      <c r="Q170" s="20" t="s">
        <v>289</v>
      </c>
      <c r="R170" s="20">
        <v>200</v>
      </c>
      <c r="S170" s="18">
        <v>300</v>
      </c>
      <c r="T170" s="20" t="s">
        <v>290</v>
      </c>
      <c r="U170" s="18" t="s">
        <v>291</v>
      </c>
      <c r="V170" s="18"/>
      <c r="W170" s="18">
        <v>2</v>
      </c>
      <c r="X170" s="18" t="s">
        <v>92</v>
      </c>
      <c r="Y170" s="7" t="s">
        <v>259</v>
      </c>
      <c r="Z170" s="7">
        <v>20</v>
      </c>
      <c r="AA170" s="18" t="s">
        <v>150</v>
      </c>
      <c r="AB170" s="18">
        <v>1</v>
      </c>
      <c r="AC170" s="20">
        <v>12</v>
      </c>
      <c r="AD170" s="20">
        <v>200</v>
      </c>
    </row>
    <row r="171" spans="2:30">
      <c r="B171" s="18">
        <v>40607</v>
      </c>
      <c r="C171" s="20" t="s">
        <v>286</v>
      </c>
      <c r="D171" s="20"/>
      <c r="E171" s="18">
        <v>7</v>
      </c>
      <c r="F171" s="19" t="str">
        <f t="shared" si="4"/>
        <v>4</v>
      </c>
      <c r="G171" s="18">
        <f>G$5+INT((ROWS(G$5:G170))/10)</f>
        <v>17</v>
      </c>
      <c r="H171" s="20" t="s">
        <v>287</v>
      </c>
      <c r="I171" s="18">
        <v>173</v>
      </c>
      <c r="J171" s="18">
        <v>10</v>
      </c>
      <c r="K171" s="18"/>
      <c r="L171" s="18">
        <v>3</v>
      </c>
      <c r="M171" s="18" t="str">
        <f t="shared" si="3"/>
        <v>406</v>
      </c>
      <c r="N171" s="18">
        <v>133</v>
      </c>
      <c r="O171" s="18">
        <v>1680</v>
      </c>
      <c r="P171" s="20" t="s">
        <v>288</v>
      </c>
      <c r="Q171" s="20" t="s">
        <v>289</v>
      </c>
      <c r="R171" s="20">
        <v>200</v>
      </c>
      <c r="S171" s="18">
        <v>300</v>
      </c>
      <c r="T171" s="20" t="s">
        <v>290</v>
      </c>
      <c r="U171" s="18" t="s">
        <v>291</v>
      </c>
      <c r="V171" s="18"/>
      <c r="W171" s="18">
        <v>2</v>
      </c>
      <c r="X171" s="18" t="s">
        <v>92</v>
      </c>
      <c r="Y171" s="7" t="s">
        <v>260</v>
      </c>
      <c r="Z171" s="7">
        <v>25</v>
      </c>
      <c r="AA171" s="18" t="s">
        <v>150</v>
      </c>
      <c r="AB171" s="18">
        <v>1</v>
      </c>
      <c r="AC171" s="20">
        <v>14</v>
      </c>
      <c r="AD171" s="20">
        <v>200</v>
      </c>
    </row>
    <row r="172" spans="2:30">
      <c r="B172" s="18">
        <v>40608</v>
      </c>
      <c r="C172" s="20" t="s">
        <v>286</v>
      </c>
      <c r="D172" s="20"/>
      <c r="E172" s="18">
        <v>8</v>
      </c>
      <c r="F172" s="19" t="str">
        <f t="shared" si="4"/>
        <v>4</v>
      </c>
      <c r="G172" s="18">
        <f>G$5+INT((ROWS(G$5:G171))/10)</f>
        <v>17</v>
      </c>
      <c r="H172" s="20" t="s">
        <v>287</v>
      </c>
      <c r="I172" s="18">
        <v>187</v>
      </c>
      <c r="J172" s="18">
        <v>11</v>
      </c>
      <c r="K172" s="18"/>
      <c r="L172" s="18">
        <v>3</v>
      </c>
      <c r="M172" s="18" t="str">
        <f t="shared" si="3"/>
        <v>406</v>
      </c>
      <c r="N172" s="18">
        <v>142</v>
      </c>
      <c r="O172" s="18">
        <v>1600</v>
      </c>
      <c r="P172" s="20" t="s">
        <v>288</v>
      </c>
      <c r="Q172" s="20" t="s">
        <v>289</v>
      </c>
      <c r="R172" s="20">
        <v>200</v>
      </c>
      <c r="S172" s="18">
        <v>300</v>
      </c>
      <c r="T172" s="20" t="s">
        <v>290</v>
      </c>
      <c r="U172" s="18" t="s">
        <v>291</v>
      </c>
      <c r="V172" s="18"/>
      <c r="W172" s="18">
        <v>2</v>
      </c>
      <c r="X172" s="18" t="s">
        <v>92</v>
      </c>
      <c r="Y172" s="7" t="s">
        <v>261</v>
      </c>
      <c r="Z172" s="7">
        <v>30</v>
      </c>
      <c r="AA172" s="18" t="s">
        <v>150</v>
      </c>
      <c r="AB172" s="18">
        <v>1</v>
      </c>
      <c r="AC172" s="20">
        <v>16</v>
      </c>
      <c r="AD172" s="20">
        <v>200</v>
      </c>
    </row>
    <row r="173" spans="2:30">
      <c r="B173" s="18">
        <v>40609</v>
      </c>
      <c r="C173" s="20" t="s">
        <v>286</v>
      </c>
      <c r="D173" s="20"/>
      <c r="E173" s="18">
        <v>9</v>
      </c>
      <c r="F173" s="19" t="str">
        <f t="shared" si="4"/>
        <v>4</v>
      </c>
      <c r="G173" s="18">
        <f>G$5+INT((ROWS(G$5:G172))/10)</f>
        <v>17</v>
      </c>
      <c r="H173" s="20" t="s">
        <v>287</v>
      </c>
      <c r="I173" s="18">
        <v>224</v>
      </c>
      <c r="J173" s="18">
        <v>13</v>
      </c>
      <c r="K173" s="18"/>
      <c r="L173" s="18">
        <v>3</v>
      </c>
      <c r="M173" s="18" t="str">
        <f t="shared" si="3"/>
        <v>406</v>
      </c>
      <c r="N173" s="18">
        <v>151</v>
      </c>
      <c r="O173" s="18">
        <v>1520</v>
      </c>
      <c r="P173" s="20" t="s">
        <v>288</v>
      </c>
      <c r="Q173" s="20" t="s">
        <v>289</v>
      </c>
      <c r="R173" s="20">
        <v>200</v>
      </c>
      <c r="S173" s="18">
        <v>300</v>
      </c>
      <c r="T173" s="20" t="s">
        <v>290</v>
      </c>
      <c r="U173" s="18" t="s">
        <v>291</v>
      </c>
      <c r="V173" s="18"/>
      <c r="W173" s="18">
        <v>2</v>
      </c>
      <c r="X173" s="18" t="s">
        <v>92</v>
      </c>
      <c r="Y173" s="7" t="s">
        <v>262</v>
      </c>
      <c r="Z173" s="7">
        <v>35</v>
      </c>
      <c r="AA173" s="18" t="s">
        <v>150</v>
      </c>
      <c r="AB173" s="18">
        <v>1</v>
      </c>
      <c r="AC173" s="20">
        <v>18</v>
      </c>
      <c r="AD173" s="20">
        <v>200</v>
      </c>
    </row>
    <row r="174" spans="2:30">
      <c r="B174" s="18">
        <v>40610</v>
      </c>
      <c r="C174" s="20" t="s">
        <v>286</v>
      </c>
      <c r="D174" s="20"/>
      <c r="E174" s="18">
        <v>10</v>
      </c>
      <c r="F174" s="19" t="str">
        <f t="shared" si="4"/>
        <v>4</v>
      </c>
      <c r="G174" s="18">
        <f>G$5+INT((ROWS(G$5:G173))/10)</f>
        <v>17</v>
      </c>
      <c r="H174" s="20" t="s">
        <v>287</v>
      </c>
      <c r="I174" s="18">
        <v>274</v>
      </c>
      <c r="J174" s="18">
        <v>14</v>
      </c>
      <c r="K174" s="18"/>
      <c r="L174" s="18">
        <v>3</v>
      </c>
      <c r="M174" s="18" t="str">
        <f t="shared" ref="M174:M237" si="5">LEFT(B174,3)</f>
        <v>406</v>
      </c>
      <c r="N174" s="18">
        <v>160</v>
      </c>
      <c r="O174" s="18">
        <v>1440</v>
      </c>
      <c r="P174" s="20" t="s">
        <v>288</v>
      </c>
      <c r="Q174" s="20" t="s">
        <v>289</v>
      </c>
      <c r="R174" s="20">
        <v>200</v>
      </c>
      <c r="S174" s="18">
        <v>300</v>
      </c>
      <c r="T174" s="20" t="s">
        <v>290</v>
      </c>
      <c r="U174" s="18" t="s">
        <v>291</v>
      </c>
      <c r="V174" s="18"/>
      <c r="W174" s="18">
        <v>2</v>
      </c>
      <c r="X174" s="18" t="s">
        <v>92</v>
      </c>
      <c r="Y174" s="7" t="s">
        <v>263</v>
      </c>
      <c r="Z174" s="7">
        <v>40</v>
      </c>
      <c r="AA174" s="18" t="s">
        <v>150</v>
      </c>
      <c r="AB174" s="18">
        <v>1</v>
      </c>
      <c r="AC174" s="20">
        <v>20</v>
      </c>
      <c r="AD174" s="20">
        <v>200</v>
      </c>
    </row>
    <row r="175" spans="2:30">
      <c r="B175" s="18">
        <v>50101</v>
      </c>
      <c r="C175" s="20" t="s">
        <v>292</v>
      </c>
      <c r="D175" s="20"/>
      <c r="E175" s="18">
        <v>1</v>
      </c>
      <c r="F175" s="19" t="str">
        <f t="shared" si="4"/>
        <v>5</v>
      </c>
      <c r="G175" s="18">
        <f>G$5+INT((ROWS(G$5:G174))/10)</f>
        <v>18</v>
      </c>
      <c r="H175" s="20" t="s">
        <v>293</v>
      </c>
      <c r="I175" s="18">
        <v>17</v>
      </c>
      <c r="J175" s="18">
        <v>10</v>
      </c>
      <c r="K175" s="18"/>
      <c r="L175" s="18">
        <v>3</v>
      </c>
      <c r="M175" s="18" t="str">
        <f t="shared" si="5"/>
        <v>501</v>
      </c>
      <c r="N175" s="18">
        <v>80</v>
      </c>
      <c r="O175" s="18">
        <v>778</v>
      </c>
      <c r="P175" s="20"/>
      <c r="Q175" s="20"/>
      <c r="R175" s="20"/>
      <c r="S175" s="18">
        <v>300</v>
      </c>
      <c r="T175" s="20" t="s">
        <v>294</v>
      </c>
      <c r="U175" s="18" t="s">
        <v>295</v>
      </c>
      <c r="V175" s="18"/>
      <c r="W175" s="18">
        <v>2</v>
      </c>
      <c r="X175" s="18" t="s">
        <v>92</v>
      </c>
      <c r="Y175" s="7" t="s">
        <v>296</v>
      </c>
      <c r="Z175" s="6">
        <v>1</v>
      </c>
      <c r="AA175" s="18" t="s">
        <v>150</v>
      </c>
      <c r="AB175" s="18">
        <v>1</v>
      </c>
      <c r="AC175" s="20">
        <v>2</v>
      </c>
      <c r="AD175" s="20">
        <v>30</v>
      </c>
    </row>
    <row r="176" spans="2:30">
      <c r="B176" s="18">
        <v>50102</v>
      </c>
      <c r="C176" s="20" t="s">
        <v>292</v>
      </c>
      <c r="D176" s="20"/>
      <c r="E176" s="18">
        <v>2</v>
      </c>
      <c r="F176" s="19" t="str">
        <f t="shared" si="4"/>
        <v>5</v>
      </c>
      <c r="G176" s="18">
        <f>G$5+INT((ROWS(G$5:G175))/10)</f>
        <v>18</v>
      </c>
      <c r="H176" s="20" t="s">
        <v>293</v>
      </c>
      <c r="I176" s="18">
        <v>52</v>
      </c>
      <c r="J176" s="18">
        <v>10</v>
      </c>
      <c r="K176" s="18"/>
      <c r="L176" s="18">
        <v>3</v>
      </c>
      <c r="M176" s="18" t="str">
        <f t="shared" si="5"/>
        <v>501</v>
      </c>
      <c r="N176" s="18">
        <v>89</v>
      </c>
      <c r="O176" s="18">
        <v>749</v>
      </c>
      <c r="P176" s="20"/>
      <c r="Q176" s="20"/>
      <c r="R176" s="20"/>
      <c r="S176" s="18">
        <v>300</v>
      </c>
      <c r="T176" s="20" t="s">
        <v>294</v>
      </c>
      <c r="U176" s="18" t="s">
        <v>295</v>
      </c>
      <c r="V176" s="18"/>
      <c r="W176" s="18">
        <v>2</v>
      </c>
      <c r="X176" s="18" t="s">
        <v>92</v>
      </c>
      <c r="Y176" s="7" t="s">
        <v>297</v>
      </c>
      <c r="Z176" s="7">
        <v>3</v>
      </c>
      <c r="AA176" s="18" t="s">
        <v>150</v>
      </c>
      <c r="AB176" s="18">
        <v>1</v>
      </c>
      <c r="AC176" s="20">
        <v>4</v>
      </c>
      <c r="AD176" s="20">
        <v>30</v>
      </c>
    </row>
    <row r="177" spans="2:30">
      <c r="B177" s="18">
        <v>50103</v>
      </c>
      <c r="C177" s="20" t="s">
        <v>292</v>
      </c>
      <c r="D177" s="20"/>
      <c r="E177" s="18">
        <v>3</v>
      </c>
      <c r="F177" s="19" t="str">
        <f t="shared" si="4"/>
        <v>5</v>
      </c>
      <c r="G177" s="18">
        <f>G$5+INT((ROWS(G$5:G176))/10)</f>
        <v>18</v>
      </c>
      <c r="H177" s="20" t="s">
        <v>293</v>
      </c>
      <c r="I177" s="18">
        <v>108</v>
      </c>
      <c r="J177" s="18">
        <v>14</v>
      </c>
      <c r="K177" s="18"/>
      <c r="L177" s="18">
        <v>3</v>
      </c>
      <c r="M177" s="18" t="str">
        <f t="shared" si="5"/>
        <v>501</v>
      </c>
      <c r="N177" s="18">
        <v>98</v>
      </c>
      <c r="O177" s="18">
        <v>720</v>
      </c>
      <c r="P177" s="20"/>
      <c r="Q177" s="20"/>
      <c r="R177" s="20"/>
      <c r="S177" s="18">
        <v>300</v>
      </c>
      <c r="T177" s="20" t="s">
        <v>294</v>
      </c>
      <c r="U177" s="18" t="s">
        <v>295</v>
      </c>
      <c r="V177" s="18"/>
      <c r="W177" s="18">
        <v>2</v>
      </c>
      <c r="X177" s="18" t="s">
        <v>92</v>
      </c>
      <c r="Y177" s="7" t="s">
        <v>298</v>
      </c>
      <c r="Z177" s="7">
        <v>5</v>
      </c>
      <c r="AA177" s="18" t="s">
        <v>150</v>
      </c>
      <c r="AB177" s="18">
        <v>1</v>
      </c>
      <c r="AC177" s="20">
        <v>6</v>
      </c>
      <c r="AD177" s="20">
        <v>30</v>
      </c>
    </row>
    <row r="178" spans="2:30">
      <c r="B178" s="18">
        <v>50104</v>
      </c>
      <c r="C178" s="20" t="s">
        <v>292</v>
      </c>
      <c r="D178" s="20"/>
      <c r="E178" s="18">
        <v>4</v>
      </c>
      <c r="F178" s="19" t="str">
        <f t="shared" si="4"/>
        <v>5</v>
      </c>
      <c r="G178" s="18">
        <f>G$5+INT((ROWS(G$5:G177))/10)</f>
        <v>18</v>
      </c>
      <c r="H178" s="20" t="s">
        <v>293</v>
      </c>
      <c r="I178" s="18">
        <v>191</v>
      </c>
      <c r="J178" s="18">
        <v>16</v>
      </c>
      <c r="K178" s="18"/>
      <c r="L178" s="18">
        <v>3</v>
      </c>
      <c r="M178" s="18" t="str">
        <f t="shared" si="5"/>
        <v>501</v>
      </c>
      <c r="N178" s="18">
        <v>107</v>
      </c>
      <c r="O178" s="18">
        <v>692</v>
      </c>
      <c r="P178" s="20"/>
      <c r="Q178" s="20"/>
      <c r="R178" s="20"/>
      <c r="S178" s="18">
        <v>300</v>
      </c>
      <c r="T178" s="20" t="s">
        <v>294</v>
      </c>
      <c r="U178" s="18" t="s">
        <v>295</v>
      </c>
      <c r="V178" s="18"/>
      <c r="W178" s="18">
        <v>2</v>
      </c>
      <c r="X178" s="18" t="s">
        <v>92</v>
      </c>
      <c r="Y178" s="7" t="s">
        <v>299</v>
      </c>
      <c r="Z178" s="7">
        <v>10</v>
      </c>
      <c r="AA178" s="18" t="s">
        <v>150</v>
      </c>
      <c r="AB178" s="18">
        <v>1</v>
      </c>
      <c r="AC178" s="20">
        <v>8</v>
      </c>
      <c r="AD178" s="20">
        <v>30</v>
      </c>
    </row>
    <row r="179" spans="2:30">
      <c r="B179" s="18">
        <v>50105</v>
      </c>
      <c r="C179" s="20" t="s">
        <v>292</v>
      </c>
      <c r="D179" s="20"/>
      <c r="E179" s="18">
        <v>5</v>
      </c>
      <c r="F179" s="19" t="str">
        <f t="shared" si="4"/>
        <v>5</v>
      </c>
      <c r="G179" s="18">
        <f>G$5+INT((ROWS(G$5:G178))/10)</f>
        <v>18</v>
      </c>
      <c r="H179" s="20" t="s">
        <v>293</v>
      </c>
      <c r="I179" s="18">
        <v>230</v>
      </c>
      <c r="J179" s="18">
        <v>18</v>
      </c>
      <c r="K179" s="18"/>
      <c r="L179" s="18">
        <v>3</v>
      </c>
      <c r="M179" s="18" t="str">
        <f t="shared" si="5"/>
        <v>501</v>
      </c>
      <c r="N179" s="18">
        <v>116</v>
      </c>
      <c r="O179" s="18">
        <v>663</v>
      </c>
      <c r="P179" s="20"/>
      <c r="Q179" s="20"/>
      <c r="R179" s="20"/>
      <c r="S179" s="18">
        <v>300</v>
      </c>
      <c r="T179" s="20" t="s">
        <v>294</v>
      </c>
      <c r="U179" s="18" t="s">
        <v>295</v>
      </c>
      <c r="V179" s="18"/>
      <c r="W179" s="18">
        <v>2</v>
      </c>
      <c r="X179" s="18" t="s">
        <v>92</v>
      </c>
      <c r="Y179" s="7" t="s">
        <v>300</v>
      </c>
      <c r="Z179" s="7">
        <v>15</v>
      </c>
      <c r="AA179" s="18" t="s">
        <v>150</v>
      </c>
      <c r="AB179" s="18">
        <v>1</v>
      </c>
      <c r="AC179" s="20">
        <v>10</v>
      </c>
      <c r="AD179" s="20">
        <v>30</v>
      </c>
    </row>
    <row r="180" spans="2:30">
      <c r="B180" s="18">
        <v>50106</v>
      </c>
      <c r="C180" s="20" t="s">
        <v>292</v>
      </c>
      <c r="D180" s="20"/>
      <c r="E180" s="18">
        <v>6</v>
      </c>
      <c r="F180" s="19" t="str">
        <f t="shared" si="4"/>
        <v>5</v>
      </c>
      <c r="G180" s="18">
        <f>G$5+INT((ROWS(G$5:G179))/10)</f>
        <v>18</v>
      </c>
      <c r="H180" s="20" t="s">
        <v>293</v>
      </c>
      <c r="I180" s="18">
        <v>309</v>
      </c>
      <c r="J180" s="18">
        <v>23</v>
      </c>
      <c r="K180" s="18"/>
      <c r="L180" s="18">
        <v>3</v>
      </c>
      <c r="M180" s="18" t="str">
        <f t="shared" si="5"/>
        <v>501</v>
      </c>
      <c r="N180" s="18">
        <v>124</v>
      </c>
      <c r="O180" s="18">
        <v>634</v>
      </c>
      <c r="P180" s="20"/>
      <c r="Q180" s="20"/>
      <c r="R180" s="20"/>
      <c r="S180" s="18">
        <v>300</v>
      </c>
      <c r="T180" s="20" t="s">
        <v>294</v>
      </c>
      <c r="U180" s="18" t="s">
        <v>295</v>
      </c>
      <c r="V180" s="18"/>
      <c r="W180" s="18">
        <v>2</v>
      </c>
      <c r="X180" s="18" t="s">
        <v>92</v>
      </c>
      <c r="Y180" s="7" t="s">
        <v>301</v>
      </c>
      <c r="Z180" s="7">
        <v>20</v>
      </c>
      <c r="AA180" s="18" t="s">
        <v>150</v>
      </c>
      <c r="AB180" s="18">
        <v>1</v>
      </c>
      <c r="AC180" s="20">
        <v>12</v>
      </c>
      <c r="AD180" s="20">
        <v>30</v>
      </c>
    </row>
    <row r="181" spans="2:30">
      <c r="B181" s="18">
        <v>50107</v>
      </c>
      <c r="C181" s="20" t="s">
        <v>292</v>
      </c>
      <c r="D181" s="20"/>
      <c r="E181" s="18">
        <v>7</v>
      </c>
      <c r="F181" s="19" t="str">
        <f t="shared" si="4"/>
        <v>5</v>
      </c>
      <c r="G181" s="18">
        <f>G$5+INT((ROWS(G$5:G180))/10)</f>
        <v>18</v>
      </c>
      <c r="H181" s="20" t="s">
        <v>293</v>
      </c>
      <c r="I181" s="18">
        <v>416</v>
      </c>
      <c r="J181" s="18">
        <v>25</v>
      </c>
      <c r="K181" s="18"/>
      <c r="L181" s="18">
        <v>3</v>
      </c>
      <c r="M181" s="18" t="str">
        <f t="shared" si="5"/>
        <v>501</v>
      </c>
      <c r="N181" s="18">
        <v>133</v>
      </c>
      <c r="O181" s="18">
        <v>605</v>
      </c>
      <c r="P181" s="20"/>
      <c r="Q181" s="20"/>
      <c r="R181" s="20"/>
      <c r="S181" s="18">
        <v>300</v>
      </c>
      <c r="T181" s="20" t="s">
        <v>294</v>
      </c>
      <c r="U181" s="18" t="s">
        <v>295</v>
      </c>
      <c r="V181" s="18"/>
      <c r="W181" s="18">
        <v>2</v>
      </c>
      <c r="X181" s="18" t="s">
        <v>92</v>
      </c>
      <c r="Y181" s="7" t="s">
        <v>302</v>
      </c>
      <c r="Z181" s="7">
        <v>25</v>
      </c>
      <c r="AA181" s="18" t="s">
        <v>150</v>
      </c>
      <c r="AB181" s="18">
        <v>1</v>
      </c>
      <c r="AC181" s="20">
        <v>14</v>
      </c>
      <c r="AD181" s="20">
        <v>30</v>
      </c>
    </row>
    <row r="182" spans="2:30">
      <c r="B182" s="18">
        <v>50108</v>
      </c>
      <c r="C182" s="20" t="s">
        <v>292</v>
      </c>
      <c r="D182" s="20"/>
      <c r="E182" s="18">
        <v>8</v>
      </c>
      <c r="F182" s="19" t="str">
        <f t="shared" si="4"/>
        <v>5</v>
      </c>
      <c r="G182" s="18">
        <f>G$5+INT((ROWS(G$5:G181))/10)</f>
        <v>18</v>
      </c>
      <c r="H182" s="20" t="s">
        <v>293</v>
      </c>
      <c r="I182" s="18">
        <v>449</v>
      </c>
      <c r="J182" s="18">
        <v>27</v>
      </c>
      <c r="K182" s="18"/>
      <c r="L182" s="18">
        <v>3</v>
      </c>
      <c r="M182" s="18" t="str">
        <f t="shared" si="5"/>
        <v>501</v>
      </c>
      <c r="N182" s="18">
        <v>142</v>
      </c>
      <c r="O182" s="18">
        <v>576</v>
      </c>
      <c r="P182" s="20"/>
      <c r="Q182" s="20"/>
      <c r="R182" s="20"/>
      <c r="S182" s="18">
        <v>300</v>
      </c>
      <c r="T182" s="20" t="s">
        <v>294</v>
      </c>
      <c r="U182" s="18" t="s">
        <v>295</v>
      </c>
      <c r="V182" s="18"/>
      <c r="W182" s="18">
        <v>2</v>
      </c>
      <c r="X182" s="18" t="s">
        <v>92</v>
      </c>
      <c r="Y182" s="7" t="s">
        <v>303</v>
      </c>
      <c r="Z182" s="7">
        <v>30</v>
      </c>
      <c r="AA182" s="18" t="s">
        <v>150</v>
      </c>
      <c r="AB182" s="18">
        <v>1</v>
      </c>
      <c r="AC182" s="20">
        <v>16</v>
      </c>
      <c r="AD182" s="20">
        <v>30</v>
      </c>
    </row>
    <row r="183" spans="2:30">
      <c r="B183" s="18">
        <v>50109</v>
      </c>
      <c r="C183" s="20" t="s">
        <v>292</v>
      </c>
      <c r="D183" s="20"/>
      <c r="E183" s="18">
        <v>9</v>
      </c>
      <c r="F183" s="19" t="str">
        <f t="shared" si="4"/>
        <v>5</v>
      </c>
      <c r="G183" s="18">
        <f>G$5+INT((ROWS(G$5:G182))/10)</f>
        <v>18</v>
      </c>
      <c r="H183" s="20" t="s">
        <v>293</v>
      </c>
      <c r="I183" s="18">
        <v>538</v>
      </c>
      <c r="J183" s="18">
        <v>32</v>
      </c>
      <c r="K183" s="18"/>
      <c r="L183" s="18">
        <v>3</v>
      </c>
      <c r="M183" s="18" t="str">
        <f t="shared" si="5"/>
        <v>501</v>
      </c>
      <c r="N183" s="18">
        <v>151</v>
      </c>
      <c r="O183" s="18">
        <v>547</v>
      </c>
      <c r="P183" s="20"/>
      <c r="Q183" s="20"/>
      <c r="R183" s="20"/>
      <c r="S183" s="18">
        <v>300</v>
      </c>
      <c r="T183" s="20" t="s">
        <v>294</v>
      </c>
      <c r="U183" s="18" t="s">
        <v>295</v>
      </c>
      <c r="V183" s="18"/>
      <c r="W183" s="18">
        <v>2</v>
      </c>
      <c r="X183" s="18" t="s">
        <v>92</v>
      </c>
      <c r="Y183" s="7" t="s">
        <v>304</v>
      </c>
      <c r="Z183" s="7">
        <v>35</v>
      </c>
      <c r="AA183" s="18" t="s">
        <v>150</v>
      </c>
      <c r="AB183" s="18">
        <v>1</v>
      </c>
      <c r="AC183" s="20">
        <v>18</v>
      </c>
      <c r="AD183" s="20">
        <v>30</v>
      </c>
    </row>
    <row r="184" spans="2:30">
      <c r="B184" s="18">
        <v>50110</v>
      </c>
      <c r="C184" s="20" t="s">
        <v>292</v>
      </c>
      <c r="D184" s="20"/>
      <c r="E184" s="18">
        <v>10</v>
      </c>
      <c r="F184" s="19" t="str">
        <f t="shared" si="4"/>
        <v>5</v>
      </c>
      <c r="G184" s="18">
        <f>G$5+INT((ROWS(G$5:G183))/10)</f>
        <v>18</v>
      </c>
      <c r="H184" s="20" t="s">
        <v>293</v>
      </c>
      <c r="I184" s="18">
        <v>657</v>
      </c>
      <c r="J184" s="18">
        <v>34</v>
      </c>
      <c r="K184" s="18"/>
      <c r="L184" s="18">
        <v>3</v>
      </c>
      <c r="M184" s="18" t="str">
        <f t="shared" si="5"/>
        <v>501</v>
      </c>
      <c r="N184" s="18">
        <v>160</v>
      </c>
      <c r="O184" s="18">
        <v>519</v>
      </c>
      <c r="P184" s="20"/>
      <c r="Q184" s="20"/>
      <c r="R184" s="20"/>
      <c r="S184" s="18">
        <v>300</v>
      </c>
      <c r="T184" s="20" t="s">
        <v>294</v>
      </c>
      <c r="U184" s="18" t="s">
        <v>295</v>
      </c>
      <c r="V184" s="18"/>
      <c r="W184" s="18">
        <v>2</v>
      </c>
      <c r="X184" s="18" t="s">
        <v>92</v>
      </c>
      <c r="Y184" s="7" t="s">
        <v>305</v>
      </c>
      <c r="Z184" s="7">
        <v>40</v>
      </c>
      <c r="AA184" s="18" t="s">
        <v>150</v>
      </c>
      <c r="AB184" s="18">
        <v>1</v>
      </c>
      <c r="AC184" s="20">
        <v>20</v>
      </c>
      <c r="AD184" s="20">
        <v>30</v>
      </c>
    </row>
    <row r="185" spans="2:30">
      <c r="B185" s="18">
        <v>50201</v>
      </c>
      <c r="C185" s="20" t="s">
        <v>306</v>
      </c>
      <c r="D185" s="20"/>
      <c r="E185" s="18">
        <v>1</v>
      </c>
      <c r="F185" s="19" t="str">
        <f t="shared" si="4"/>
        <v>5</v>
      </c>
      <c r="G185" s="18">
        <f>G$5+INT((ROWS(G$5:G184))/10)</f>
        <v>19</v>
      </c>
      <c r="H185" s="20" t="s">
        <v>307</v>
      </c>
      <c r="I185" s="18">
        <v>17</v>
      </c>
      <c r="J185" s="18">
        <v>10</v>
      </c>
      <c r="K185" s="18"/>
      <c r="L185" s="18">
        <v>3</v>
      </c>
      <c r="M185" s="18" t="str">
        <f t="shared" si="5"/>
        <v>502</v>
      </c>
      <c r="N185" s="18">
        <v>50</v>
      </c>
      <c r="O185" s="18">
        <v>227</v>
      </c>
      <c r="P185" s="20"/>
      <c r="Q185" s="20"/>
      <c r="R185" s="20"/>
      <c r="S185" s="18">
        <v>300</v>
      </c>
      <c r="T185" s="20" t="s">
        <v>308</v>
      </c>
      <c r="U185" s="18" t="s">
        <v>309</v>
      </c>
      <c r="V185" s="18"/>
      <c r="W185" s="18">
        <v>2</v>
      </c>
      <c r="X185" s="18" t="s">
        <v>92</v>
      </c>
      <c r="Y185" s="7" t="s">
        <v>296</v>
      </c>
      <c r="Z185" s="6">
        <v>1</v>
      </c>
      <c r="AA185" s="18" t="s">
        <v>150</v>
      </c>
      <c r="AB185" s="18">
        <v>1</v>
      </c>
      <c r="AC185" s="20">
        <v>2</v>
      </c>
      <c r="AD185" s="20">
        <v>20</v>
      </c>
    </row>
    <row r="186" spans="2:30">
      <c r="B186" s="18">
        <v>50202</v>
      </c>
      <c r="C186" s="20" t="s">
        <v>306</v>
      </c>
      <c r="D186" s="20"/>
      <c r="E186" s="18">
        <v>2</v>
      </c>
      <c r="F186" s="19" t="str">
        <f t="shared" si="4"/>
        <v>5</v>
      </c>
      <c r="G186" s="18">
        <f>G$5+INT((ROWS(G$5:G185))/10)</f>
        <v>19</v>
      </c>
      <c r="H186" s="20" t="s">
        <v>307</v>
      </c>
      <c r="I186" s="18">
        <v>52</v>
      </c>
      <c r="J186" s="18">
        <v>10</v>
      </c>
      <c r="K186" s="18"/>
      <c r="L186" s="18">
        <v>3</v>
      </c>
      <c r="M186" s="18" t="str">
        <f t="shared" si="5"/>
        <v>502</v>
      </c>
      <c r="N186" s="18">
        <v>56</v>
      </c>
      <c r="O186" s="18">
        <v>219</v>
      </c>
      <c r="P186" s="20"/>
      <c r="Q186" s="20"/>
      <c r="R186" s="20"/>
      <c r="S186" s="18">
        <v>300</v>
      </c>
      <c r="T186" s="20" t="s">
        <v>308</v>
      </c>
      <c r="U186" s="18" t="s">
        <v>309</v>
      </c>
      <c r="V186" s="18"/>
      <c r="W186" s="18">
        <v>2</v>
      </c>
      <c r="X186" s="18" t="s">
        <v>92</v>
      </c>
      <c r="Y186" s="7" t="s">
        <v>297</v>
      </c>
      <c r="Z186" s="7">
        <v>3</v>
      </c>
      <c r="AA186" s="18" t="s">
        <v>150</v>
      </c>
      <c r="AB186" s="18">
        <v>1</v>
      </c>
      <c r="AC186" s="20">
        <v>4</v>
      </c>
      <c r="AD186" s="20">
        <v>20</v>
      </c>
    </row>
    <row r="187" spans="2:30">
      <c r="B187" s="18">
        <v>50203</v>
      </c>
      <c r="C187" s="20" t="s">
        <v>306</v>
      </c>
      <c r="D187" s="20"/>
      <c r="E187" s="18">
        <v>3</v>
      </c>
      <c r="F187" s="19" t="str">
        <f t="shared" si="4"/>
        <v>5</v>
      </c>
      <c r="G187" s="18">
        <f>G$5+INT((ROWS(G$5:G186))/10)</f>
        <v>19</v>
      </c>
      <c r="H187" s="20" t="s">
        <v>307</v>
      </c>
      <c r="I187" s="18">
        <v>108</v>
      </c>
      <c r="J187" s="18">
        <v>14</v>
      </c>
      <c r="K187" s="18"/>
      <c r="L187" s="18">
        <v>3</v>
      </c>
      <c r="M187" s="18" t="str">
        <f t="shared" si="5"/>
        <v>502</v>
      </c>
      <c r="N187" s="18">
        <v>61</v>
      </c>
      <c r="O187" s="18">
        <v>210</v>
      </c>
      <c r="P187" s="20"/>
      <c r="Q187" s="20"/>
      <c r="R187" s="20"/>
      <c r="S187" s="18">
        <v>300</v>
      </c>
      <c r="T187" s="20" t="s">
        <v>308</v>
      </c>
      <c r="U187" s="18" t="s">
        <v>309</v>
      </c>
      <c r="V187" s="18"/>
      <c r="W187" s="18">
        <v>2</v>
      </c>
      <c r="X187" s="18" t="s">
        <v>92</v>
      </c>
      <c r="Y187" s="7" t="s">
        <v>298</v>
      </c>
      <c r="Z187" s="7">
        <v>5</v>
      </c>
      <c r="AA187" s="18" t="s">
        <v>150</v>
      </c>
      <c r="AB187" s="18">
        <v>1</v>
      </c>
      <c r="AC187" s="20">
        <v>6</v>
      </c>
      <c r="AD187" s="20">
        <v>20</v>
      </c>
    </row>
    <row r="188" spans="2:30">
      <c r="B188" s="18">
        <v>50204</v>
      </c>
      <c r="C188" s="20" t="s">
        <v>306</v>
      </c>
      <c r="D188" s="20"/>
      <c r="E188" s="18">
        <v>4</v>
      </c>
      <c r="F188" s="19" t="str">
        <f t="shared" si="4"/>
        <v>5</v>
      </c>
      <c r="G188" s="18">
        <f>G$5+INT((ROWS(G$5:G187))/10)</f>
        <v>19</v>
      </c>
      <c r="H188" s="20" t="s">
        <v>307</v>
      </c>
      <c r="I188" s="18">
        <v>191</v>
      </c>
      <c r="J188" s="18">
        <v>16</v>
      </c>
      <c r="K188" s="18"/>
      <c r="L188" s="18">
        <v>3</v>
      </c>
      <c r="M188" s="18" t="str">
        <f t="shared" si="5"/>
        <v>502</v>
      </c>
      <c r="N188" s="18">
        <v>67</v>
      </c>
      <c r="O188" s="18">
        <v>202</v>
      </c>
      <c r="P188" s="20"/>
      <c r="Q188" s="20"/>
      <c r="R188" s="20"/>
      <c r="S188" s="18">
        <v>300</v>
      </c>
      <c r="T188" s="20" t="s">
        <v>308</v>
      </c>
      <c r="U188" s="18" t="s">
        <v>309</v>
      </c>
      <c r="V188" s="18"/>
      <c r="W188" s="18">
        <v>2</v>
      </c>
      <c r="X188" s="18" t="s">
        <v>92</v>
      </c>
      <c r="Y188" s="7" t="s">
        <v>299</v>
      </c>
      <c r="Z188" s="7">
        <v>10</v>
      </c>
      <c r="AA188" s="18" t="s">
        <v>150</v>
      </c>
      <c r="AB188" s="18">
        <v>1</v>
      </c>
      <c r="AC188" s="20">
        <v>8</v>
      </c>
      <c r="AD188" s="20">
        <v>20</v>
      </c>
    </row>
    <row r="189" spans="2:30">
      <c r="B189" s="18">
        <v>50205</v>
      </c>
      <c r="C189" s="20" t="s">
        <v>306</v>
      </c>
      <c r="D189" s="20"/>
      <c r="E189" s="18">
        <v>5</v>
      </c>
      <c r="F189" s="19" t="str">
        <f t="shared" si="4"/>
        <v>5</v>
      </c>
      <c r="G189" s="18">
        <f>G$5+INT((ROWS(G$5:G188))/10)</f>
        <v>19</v>
      </c>
      <c r="H189" s="20" t="s">
        <v>307</v>
      </c>
      <c r="I189" s="18">
        <v>230</v>
      </c>
      <c r="J189" s="18">
        <v>18</v>
      </c>
      <c r="K189" s="18"/>
      <c r="L189" s="18">
        <v>3</v>
      </c>
      <c r="M189" s="18" t="str">
        <f t="shared" si="5"/>
        <v>502</v>
      </c>
      <c r="N189" s="18">
        <v>72</v>
      </c>
      <c r="O189" s="18">
        <v>193</v>
      </c>
      <c r="P189" s="20"/>
      <c r="Q189" s="20"/>
      <c r="R189" s="20"/>
      <c r="S189" s="18">
        <v>300</v>
      </c>
      <c r="T189" s="20" t="s">
        <v>308</v>
      </c>
      <c r="U189" s="18" t="s">
        <v>309</v>
      </c>
      <c r="V189" s="18"/>
      <c r="W189" s="18">
        <v>2</v>
      </c>
      <c r="X189" s="18" t="s">
        <v>92</v>
      </c>
      <c r="Y189" s="7" t="s">
        <v>300</v>
      </c>
      <c r="Z189" s="7">
        <v>15</v>
      </c>
      <c r="AA189" s="18" t="s">
        <v>150</v>
      </c>
      <c r="AB189" s="18">
        <v>1</v>
      </c>
      <c r="AC189" s="20">
        <v>10</v>
      </c>
      <c r="AD189" s="20">
        <v>20</v>
      </c>
    </row>
    <row r="190" spans="2:30">
      <c r="B190" s="18">
        <v>50206</v>
      </c>
      <c r="C190" s="20" t="s">
        <v>306</v>
      </c>
      <c r="D190" s="20"/>
      <c r="E190" s="18">
        <v>6</v>
      </c>
      <c r="F190" s="19" t="str">
        <f t="shared" si="4"/>
        <v>5</v>
      </c>
      <c r="G190" s="18">
        <f>G$5+INT((ROWS(G$5:G189))/10)</f>
        <v>19</v>
      </c>
      <c r="H190" s="20" t="s">
        <v>307</v>
      </c>
      <c r="I190" s="18">
        <v>309</v>
      </c>
      <c r="J190" s="18">
        <v>23</v>
      </c>
      <c r="K190" s="18"/>
      <c r="L190" s="18">
        <v>3</v>
      </c>
      <c r="M190" s="18" t="str">
        <f t="shared" si="5"/>
        <v>502</v>
      </c>
      <c r="N190" s="18">
        <v>78</v>
      </c>
      <c r="O190" s="18">
        <v>185</v>
      </c>
      <c r="P190" s="20"/>
      <c r="Q190" s="20"/>
      <c r="R190" s="20"/>
      <c r="S190" s="18">
        <v>300</v>
      </c>
      <c r="T190" s="20" t="s">
        <v>308</v>
      </c>
      <c r="U190" s="18" t="s">
        <v>309</v>
      </c>
      <c r="V190" s="18"/>
      <c r="W190" s="18">
        <v>2</v>
      </c>
      <c r="X190" s="18" t="s">
        <v>92</v>
      </c>
      <c r="Y190" s="7" t="s">
        <v>301</v>
      </c>
      <c r="Z190" s="7">
        <v>20</v>
      </c>
      <c r="AA190" s="18" t="s">
        <v>150</v>
      </c>
      <c r="AB190" s="18">
        <v>1</v>
      </c>
      <c r="AC190" s="20">
        <v>12</v>
      </c>
      <c r="AD190" s="20">
        <v>20</v>
      </c>
    </row>
    <row r="191" spans="2:30">
      <c r="B191" s="18">
        <v>50207</v>
      </c>
      <c r="C191" s="20" t="s">
        <v>306</v>
      </c>
      <c r="D191" s="20"/>
      <c r="E191" s="18">
        <v>7</v>
      </c>
      <c r="F191" s="19" t="str">
        <f t="shared" si="4"/>
        <v>5</v>
      </c>
      <c r="G191" s="18">
        <f>G$5+INT((ROWS(G$5:G190))/10)</f>
        <v>19</v>
      </c>
      <c r="H191" s="20" t="s">
        <v>307</v>
      </c>
      <c r="I191" s="18">
        <v>416</v>
      </c>
      <c r="J191" s="18">
        <v>25</v>
      </c>
      <c r="K191" s="18"/>
      <c r="L191" s="18">
        <v>3</v>
      </c>
      <c r="M191" s="18" t="str">
        <f t="shared" si="5"/>
        <v>502</v>
      </c>
      <c r="N191" s="18">
        <v>83</v>
      </c>
      <c r="O191" s="18">
        <v>177</v>
      </c>
      <c r="P191" s="20"/>
      <c r="Q191" s="20"/>
      <c r="R191" s="20"/>
      <c r="S191" s="18">
        <v>300</v>
      </c>
      <c r="T191" s="20" t="s">
        <v>308</v>
      </c>
      <c r="U191" s="18" t="s">
        <v>309</v>
      </c>
      <c r="V191" s="18"/>
      <c r="W191" s="18">
        <v>2</v>
      </c>
      <c r="X191" s="18" t="s">
        <v>92</v>
      </c>
      <c r="Y191" s="7" t="s">
        <v>302</v>
      </c>
      <c r="Z191" s="7">
        <v>25</v>
      </c>
      <c r="AA191" s="18" t="s">
        <v>150</v>
      </c>
      <c r="AB191" s="18">
        <v>1</v>
      </c>
      <c r="AC191" s="20">
        <v>14</v>
      </c>
      <c r="AD191" s="20">
        <v>20</v>
      </c>
    </row>
    <row r="192" spans="2:30">
      <c r="B192" s="18">
        <v>50208</v>
      </c>
      <c r="C192" s="20" t="s">
        <v>306</v>
      </c>
      <c r="D192" s="20"/>
      <c r="E192" s="18">
        <v>8</v>
      </c>
      <c r="F192" s="19" t="str">
        <f t="shared" si="4"/>
        <v>5</v>
      </c>
      <c r="G192" s="18">
        <f>G$5+INT((ROWS(G$5:G191))/10)</f>
        <v>19</v>
      </c>
      <c r="H192" s="20" t="s">
        <v>307</v>
      </c>
      <c r="I192" s="18">
        <v>449</v>
      </c>
      <c r="J192" s="18">
        <v>27</v>
      </c>
      <c r="K192" s="18"/>
      <c r="L192" s="18">
        <v>3</v>
      </c>
      <c r="M192" s="18" t="str">
        <f t="shared" si="5"/>
        <v>502</v>
      </c>
      <c r="N192" s="18">
        <v>89</v>
      </c>
      <c r="O192" s="18">
        <v>168</v>
      </c>
      <c r="P192" s="20"/>
      <c r="Q192" s="20"/>
      <c r="R192" s="20"/>
      <c r="S192" s="18">
        <v>300</v>
      </c>
      <c r="T192" s="20" t="s">
        <v>308</v>
      </c>
      <c r="U192" s="18" t="s">
        <v>309</v>
      </c>
      <c r="V192" s="18"/>
      <c r="W192" s="18">
        <v>2</v>
      </c>
      <c r="X192" s="18" t="s">
        <v>92</v>
      </c>
      <c r="Y192" s="7" t="s">
        <v>303</v>
      </c>
      <c r="Z192" s="7">
        <v>30</v>
      </c>
      <c r="AA192" s="18" t="s">
        <v>150</v>
      </c>
      <c r="AB192" s="18">
        <v>1</v>
      </c>
      <c r="AC192" s="20">
        <v>16</v>
      </c>
      <c r="AD192" s="20">
        <v>20</v>
      </c>
    </row>
    <row r="193" spans="2:30">
      <c r="B193" s="18">
        <v>50209</v>
      </c>
      <c r="C193" s="20" t="s">
        <v>306</v>
      </c>
      <c r="D193" s="20"/>
      <c r="E193" s="18">
        <v>9</v>
      </c>
      <c r="F193" s="19" t="str">
        <f t="shared" si="4"/>
        <v>5</v>
      </c>
      <c r="G193" s="18">
        <f>G$5+INT((ROWS(G$5:G192))/10)</f>
        <v>19</v>
      </c>
      <c r="H193" s="20" t="s">
        <v>307</v>
      </c>
      <c r="I193" s="18">
        <v>538</v>
      </c>
      <c r="J193" s="18">
        <v>32</v>
      </c>
      <c r="K193" s="18"/>
      <c r="L193" s="18">
        <v>3</v>
      </c>
      <c r="M193" s="18" t="str">
        <f t="shared" si="5"/>
        <v>502</v>
      </c>
      <c r="N193" s="18">
        <v>94</v>
      </c>
      <c r="O193" s="18">
        <v>160</v>
      </c>
      <c r="P193" s="20"/>
      <c r="Q193" s="20"/>
      <c r="R193" s="20"/>
      <c r="S193" s="18">
        <v>300</v>
      </c>
      <c r="T193" s="20" t="s">
        <v>308</v>
      </c>
      <c r="U193" s="18" t="s">
        <v>309</v>
      </c>
      <c r="V193" s="18"/>
      <c r="W193" s="18">
        <v>2</v>
      </c>
      <c r="X193" s="18" t="s">
        <v>92</v>
      </c>
      <c r="Y193" s="7" t="s">
        <v>304</v>
      </c>
      <c r="Z193" s="7">
        <v>35</v>
      </c>
      <c r="AA193" s="18" t="s">
        <v>150</v>
      </c>
      <c r="AB193" s="18">
        <v>1</v>
      </c>
      <c r="AC193" s="20">
        <v>18</v>
      </c>
      <c r="AD193" s="20">
        <v>20</v>
      </c>
    </row>
    <row r="194" spans="2:30">
      <c r="B194" s="18">
        <v>50210</v>
      </c>
      <c r="C194" s="20" t="s">
        <v>306</v>
      </c>
      <c r="D194" s="20"/>
      <c r="E194" s="18">
        <v>10</v>
      </c>
      <c r="F194" s="19" t="str">
        <f t="shared" si="4"/>
        <v>5</v>
      </c>
      <c r="G194" s="18">
        <f>G$5+INT((ROWS(G$5:G193))/10)</f>
        <v>19</v>
      </c>
      <c r="H194" s="20" t="s">
        <v>307</v>
      </c>
      <c r="I194" s="18">
        <v>657</v>
      </c>
      <c r="J194" s="18">
        <v>34</v>
      </c>
      <c r="K194" s="18"/>
      <c r="L194" s="18">
        <v>3</v>
      </c>
      <c r="M194" s="18" t="str">
        <f t="shared" si="5"/>
        <v>502</v>
      </c>
      <c r="N194" s="18">
        <v>100</v>
      </c>
      <c r="O194" s="18">
        <v>151</v>
      </c>
      <c r="P194" s="20"/>
      <c r="Q194" s="20"/>
      <c r="R194" s="20"/>
      <c r="S194" s="18">
        <v>300</v>
      </c>
      <c r="T194" s="20" t="s">
        <v>308</v>
      </c>
      <c r="U194" s="18" t="s">
        <v>309</v>
      </c>
      <c r="V194" s="18"/>
      <c r="W194" s="18">
        <v>2</v>
      </c>
      <c r="X194" s="18" t="s">
        <v>92</v>
      </c>
      <c r="Y194" s="7" t="s">
        <v>305</v>
      </c>
      <c r="Z194" s="7">
        <v>40</v>
      </c>
      <c r="AA194" s="18" t="s">
        <v>150</v>
      </c>
      <c r="AB194" s="18">
        <v>1</v>
      </c>
      <c r="AC194" s="20">
        <v>20</v>
      </c>
      <c r="AD194" s="20">
        <v>20</v>
      </c>
    </row>
    <row r="195" spans="2:30">
      <c r="B195" s="18">
        <v>50301</v>
      </c>
      <c r="C195" s="20" t="s">
        <v>310</v>
      </c>
      <c r="D195" s="20"/>
      <c r="E195" s="18">
        <v>1</v>
      </c>
      <c r="F195" s="19" t="str">
        <f t="shared" si="4"/>
        <v>5</v>
      </c>
      <c r="G195" s="18">
        <f>G$5+INT((ROWS(G$5:G194))/10)</f>
        <v>20</v>
      </c>
      <c r="H195" s="20" t="s">
        <v>293</v>
      </c>
      <c r="I195" s="18">
        <v>17</v>
      </c>
      <c r="J195" s="18">
        <v>10</v>
      </c>
      <c r="K195" s="18"/>
      <c r="L195" s="18">
        <v>3</v>
      </c>
      <c r="M195" s="18" t="str">
        <f t="shared" si="5"/>
        <v>503</v>
      </c>
      <c r="N195" s="18">
        <v>80</v>
      </c>
      <c r="O195" s="18">
        <v>825</v>
      </c>
      <c r="P195" s="20"/>
      <c r="Q195" s="20"/>
      <c r="R195" s="20"/>
      <c r="S195" s="18">
        <v>300</v>
      </c>
      <c r="T195" s="20" t="s">
        <v>311</v>
      </c>
      <c r="U195" s="18" t="s">
        <v>312</v>
      </c>
      <c r="V195" s="18"/>
      <c r="W195" s="18">
        <v>2</v>
      </c>
      <c r="X195" s="18" t="s">
        <v>92</v>
      </c>
      <c r="Y195" s="7" t="s">
        <v>296</v>
      </c>
      <c r="Z195" s="6">
        <v>1</v>
      </c>
      <c r="AA195" s="18" t="s">
        <v>150</v>
      </c>
      <c r="AB195" s="18">
        <v>1</v>
      </c>
      <c r="AC195" s="20">
        <v>2</v>
      </c>
      <c r="AD195" s="20">
        <v>50</v>
      </c>
    </row>
    <row r="196" spans="2:30">
      <c r="B196" s="18">
        <v>50302</v>
      </c>
      <c r="C196" s="20" t="s">
        <v>310</v>
      </c>
      <c r="D196" s="20"/>
      <c r="E196" s="18">
        <v>2</v>
      </c>
      <c r="F196" s="19" t="str">
        <f t="shared" si="4"/>
        <v>5</v>
      </c>
      <c r="G196" s="18">
        <f>G$5+INT((ROWS(G$5:G195))/10)</f>
        <v>20</v>
      </c>
      <c r="H196" s="20" t="s">
        <v>293</v>
      </c>
      <c r="I196" s="18">
        <v>52</v>
      </c>
      <c r="J196" s="18">
        <v>10</v>
      </c>
      <c r="K196" s="18"/>
      <c r="L196" s="18">
        <v>3</v>
      </c>
      <c r="M196" s="18" t="str">
        <f t="shared" si="5"/>
        <v>503</v>
      </c>
      <c r="N196" s="18">
        <v>89</v>
      </c>
      <c r="O196" s="18">
        <v>794</v>
      </c>
      <c r="P196" s="20"/>
      <c r="Q196" s="20"/>
      <c r="R196" s="20"/>
      <c r="S196" s="18">
        <v>300</v>
      </c>
      <c r="T196" s="20" t="s">
        <v>311</v>
      </c>
      <c r="U196" s="18" t="s">
        <v>312</v>
      </c>
      <c r="V196" s="18"/>
      <c r="W196" s="18">
        <v>2</v>
      </c>
      <c r="X196" s="18" t="s">
        <v>92</v>
      </c>
      <c r="Y196" s="7" t="s">
        <v>297</v>
      </c>
      <c r="Z196" s="7">
        <v>3</v>
      </c>
      <c r="AA196" s="18" t="s">
        <v>150</v>
      </c>
      <c r="AB196" s="18">
        <v>1</v>
      </c>
      <c r="AC196" s="20">
        <v>4</v>
      </c>
      <c r="AD196" s="20">
        <v>50</v>
      </c>
    </row>
    <row r="197" spans="2:30">
      <c r="B197" s="18">
        <v>50303</v>
      </c>
      <c r="C197" s="20" t="s">
        <v>310</v>
      </c>
      <c r="D197" s="20"/>
      <c r="E197" s="18">
        <v>3</v>
      </c>
      <c r="F197" s="19" t="str">
        <f t="shared" si="4"/>
        <v>5</v>
      </c>
      <c r="G197" s="18">
        <f>G$5+INT((ROWS(G$5:G196))/10)</f>
        <v>20</v>
      </c>
      <c r="H197" s="20" t="s">
        <v>293</v>
      </c>
      <c r="I197" s="18">
        <v>108</v>
      </c>
      <c r="J197" s="18">
        <v>14</v>
      </c>
      <c r="K197" s="18"/>
      <c r="L197" s="18">
        <v>3</v>
      </c>
      <c r="M197" s="18" t="str">
        <f t="shared" si="5"/>
        <v>503</v>
      </c>
      <c r="N197" s="18">
        <v>98</v>
      </c>
      <c r="O197" s="18">
        <v>764</v>
      </c>
      <c r="P197" s="20"/>
      <c r="Q197" s="20"/>
      <c r="R197" s="20"/>
      <c r="S197" s="18">
        <v>300</v>
      </c>
      <c r="T197" s="20" t="s">
        <v>311</v>
      </c>
      <c r="U197" s="18" t="s">
        <v>312</v>
      </c>
      <c r="V197" s="18"/>
      <c r="W197" s="18">
        <v>2</v>
      </c>
      <c r="X197" s="18" t="s">
        <v>92</v>
      </c>
      <c r="Y197" s="7" t="s">
        <v>298</v>
      </c>
      <c r="Z197" s="7">
        <v>5</v>
      </c>
      <c r="AA197" s="18" t="s">
        <v>150</v>
      </c>
      <c r="AB197" s="18">
        <v>1</v>
      </c>
      <c r="AC197" s="20">
        <v>6</v>
      </c>
      <c r="AD197" s="20">
        <v>50</v>
      </c>
    </row>
    <row r="198" spans="2:30">
      <c r="B198" s="18">
        <v>50304</v>
      </c>
      <c r="C198" s="20" t="s">
        <v>310</v>
      </c>
      <c r="D198" s="20"/>
      <c r="E198" s="18">
        <v>4</v>
      </c>
      <c r="F198" s="19" t="str">
        <f t="shared" si="4"/>
        <v>5</v>
      </c>
      <c r="G198" s="18">
        <f>G$5+INT((ROWS(G$5:G197))/10)</f>
        <v>20</v>
      </c>
      <c r="H198" s="20" t="s">
        <v>293</v>
      </c>
      <c r="I198" s="18">
        <v>191</v>
      </c>
      <c r="J198" s="18">
        <v>16</v>
      </c>
      <c r="K198" s="18"/>
      <c r="L198" s="18">
        <v>3</v>
      </c>
      <c r="M198" s="18" t="str">
        <f t="shared" si="5"/>
        <v>503</v>
      </c>
      <c r="N198" s="18">
        <v>107</v>
      </c>
      <c r="O198" s="18">
        <v>733</v>
      </c>
      <c r="P198" s="20"/>
      <c r="Q198" s="20"/>
      <c r="R198" s="20"/>
      <c r="S198" s="18">
        <v>300</v>
      </c>
      <c r="T198" s="20" t="s">
        <v>311</v>
      </c>
      <c r="U198" s="18" t="s">
        <v>312</v>
      </c>
      <c r="V198" s="18"/>
      <c r="W198" s="18">
        <v>2</v>
      </c>
      <c r="X198" s="18" t="s">
        <v>92</v>
      </c>
      <c r="Y198" s="7" t="s">
        <v>299</v>
      </c>
      <c r="Z198" s="7">
        <v>10</v>
      </c>
      <c r="AA198" s="18" t="s">
        <v>150</v>
      </c>
      <c r="AB198" s="18">
        <v>1</v>
      </c>
      <c r="AC198" s="20">
        <v>8</v>
      </c>
      <c r="AD198" s="20">
        <v>50</v>
      </c>
    </row>
    <row r="199" spans="2:30">
      <c r="B199" s="18">
        <v>50305</v>
      </c>
      <c r="C199" s="20" t="s">
        <v>310</v>
      </c>
      <c r="D199" s="20"/>
      <c r="E199" s="18">
        <v>5</v>
      </c>
      <c r="F199" s="19" t="str">
        <f t="shared" si="4"/>
        <v>5</v>
      </c>
      <c r="G199" s="18">
        <f>G$5+INT((ROWS(G$5:G198))/10)</f>
        <v>20</v>
      </c>
      <c r="H199" s="20" t="s">
        <v>293</v>
      </c>
      <c r="I199" s="18">
        <v>230</v>
      </c>
      <c r="J199" s="18">
        <v>18</v>
      </c>
      <c r="K199" s="18"/>
      <c r="L199" s="18">
        <v>3</v>
      </c>
      <c r="M199" s="18" t="str">
        <f t="shared" si="5"/>
        <v>503</v>
      </c>
      <c r="N199" s="18">
        <v>116</v>
      </c>
      <c r="O199" s="18">
        <v>703</v>
      </c>
      <c r="P199" s="20"/>
      <c r="Q199" s="20"/>
      <c r="R199" s="20"/>
      <c r="S199" s="18">
        <v>300</v>
      </c>
      <c r="T199" s="20" t="s">
        <v>311</v>
      </c>
      <c r="U199" s="18" t="s">
        <v>312</v>
      </c>
      <c r="V199" s="18"/>
      <c r="W199" s="18">
        <v>2</v>
      </c>
      <c r="X199" s="18" t="s">
        <v>92</v>
      </c>
      <c r="Y199" s="7" t="s">
        <v>300</v>
      </c>
      <c r="Z199" s="7">
        <v>15</v>
      </c>
      <c r="AA199" s="18" t="s">
        <v>150</v>
      </c>
      <c r="AB199" s="18">
        <v>1</v>
      </c>
      <c r="AC199" s="20">
        <v>10</v>
      </c>
      <c r="AD199" s="20">
        <v>50</v>
      </c>
    </row>
    <row r="200" spans="2:30">
      <c r="B200" s="18">
        <v>50306</v>
      </c>
      <c r="C200" s="20" t="s">
        <v>310</v>
      </c>
      <c r="D200" s="20"/>
      <c r="E200" s="18">
        <v>6</v>
      </c>
      <c r="F200" s="19" t="str">
        <f t="shared" si="4"/>
        <v>5</v>
      </c>
      <c r="G200" s="18">
        <f>G$5+INT((ROWS(G$5:G199))/10)</f>
        <v>20</v>
      </c>
      <c r="H200" s="20" t="s">
        <v>293</v>
      </c>
      <c r="I200" s="18">
        <v>309</v>
      </c>
      <c r="J200" s="18">
        <v>23</v>
      </c>
      <c r="K200" s="18"/>
      <c r="L200" s="18">
        <v>3</v>
      </c>
      <c r="M200" s="18" t="str">
        <f t="shared" si="5"/>
        <v>503</v>
      </c>
      <c r="N200" s="18">
        <v>124</v>
      </c>
      <c r="O200" s="18">
        <v>672</v>
      </c>
      <c r="P200" s="20"/>
      <c r="Q200" s="20"/>
      <c r="R200" s="20"/>
      <c r="S200" s="18">
        <v>300</v>
      </c>
      <c r="T200" s="20" t="s">
        <v>311</v>
      </c>
      <c r="U200" s="18" t="s">
        <v>312</v>
      </c>
      <c r="V200" s="18"/>
      <c r="W200" s="18">
        <v>2</v>
      </c>
      <c r="X200" s="18" t="s">
        <v>92</v>
      </c>
      <c r="Y200" s="7" t="s">
        <v>301</v>
      </c>
      <c r="Z200" s="7">
        <v>20</v>
      </c>
      <c r="AA200" s="18" t="s">
        <v>150</v>
      </c>
      <c r="AB200" s="18">
        <v>1</v>
      </c>
      <c r="AC200" s="20">
        <v>12</v>
      </c>
      <c r="AD200" s="20">
        <v>50</v>
      </c>
    </row>
    <row r="201" spans="2:30">
      <c r="B201" s="18">
        <v>50307</v>
      </c>
      <c r="C201" s="20" t="s">
        <v>310</v>
      </c>
      <c r="D201" s="20"/>
      <c r="E201" s="18">
        <v>7</v>
      </c>
      <c r="F201" s="19" t="str">
        <f t="shared" si="4"/>
        <v>5</v>
      </c>
      <c r="G201" s="18">
        <f>G$5+INT((ROWS(G$5:G200))/10)</f>
        <v>20</v>
      </c>
      <c r="H201" s="20" t="s">
        <v>293</v>
      </c>
      <c r="I201" s="18">
        <v>416</v>
      </c>
      <c r="J201" s="18">
        <v>25</v>
      </c>
      <c r="K201" s="18"/>
      <c r="L201" s="18">
        <v>3</v>
      </c>
      <c r="M201" s="18" t="str">
        <f t="shared" si="5"/>
        <v>503</v>
      </c>
      <c r="N201" s="18">
        <v>133</v>
      </c>
      <c r="O201" s="18">
        <v>642</v>
      </c>
      <c r="P201" s="20"/>
      <c r="Q201" s="20"/>
      <c r="R201" s="20"/>
      <c r="S201" s="18">
        <v>300</v>
      </c>
      <c r="T201" s="20" t="s">
        <v>311</v>
      </c>
      <c r="U201" s="18" t="s">
        <v>312</v>
      </c>
      <c r="V201" s="18"/>
      <c r="W201" s="18">
        <v>2</v>
      </c>
      <c r="X201" s="18" t="s">
        <v>92</v>
      </c>
      <c r="Y201" s="7" t="s">
        <v>302</v>
      </c>
      <c r="Z201" s="7">
        <v>25</v>
      </c>
      <c r="AA201" s="18" t="s">
        <v>150</v>
      </c>
      <c r="AB201" s="18">
        <v>1</v>
      </c>
      <c r="AC201" s="20">
        <v>14</v>
      </c>
      <c r="AD201" s="20">
        <v>50</v>
      </c>
    </row>
    <row r="202" spans="2:30">
      <c r="B202" s="18">
        <v>50308</v>
      </c>
      <c r="C202" s="20" t="s">
        <v>310</v>
      </c>
      <c r="D202" s="20"/>
      <c r="E202" s="18">
        <v>8</v>
      </c>
      <c r="F202" s="19" t="str">
        <f t="shared" si="4"/>
        <v>5</v>
      </c>
      <c r="G202" s="18">
        <f>G$5+INT((ROWS(G$5:G201))/10)</f>
        <v>20</v>
      </c>
      <c r="H202" s="20" t="s">
        <v>293</v>
      </c>
      <c r="I202" s="18">
        <v>449</v>
      </c>
      <c r="J202" s="18">
        <v>27</v>
      </c>
      <c r="K202" s="18"/>
      <c r="L202" s="18">
        <v>3</v>
      </c>
      <c r="M202" s="18" t="str">
        <f t="shared" si="5"/>
        <v>503</v>
      </c>
      <c r="N202" s="18">
        <v>142</v>
      </c>
      <c r="O202" s="18">
        <v>611</v>
      </c>
      <c r="P202" s="20"/>
      <c r="Q202" s="20"/>
      <c r="R202" s="20"/>
      <c r="S202" s="18">
        <v>300</v>
      </c>
      <c r="T202" s="20" t="s">
        <v>311</v>
      </c>
      <c r="U202" s="18" t="s">
        <v>312</v>
      </c>
      <c r="V202" s="18"/>
      <c r="W202" s="18">
        <v>2</v>
      </c>
      <c r="X202" s="18" t="s">
        <v>92</v>
      </c>
      <c r="Y202" s="7" t="s">
        <v>303</v>
      </c>
      <c r="Z202" s="7">
        <v>30</v>
      </c>
      <c r="AA202" s="18" t="s">
        <v>150</v>
      </c>
      <c r="AB202" s="18">
        <v>1</v>
      </c>
      <c r="AC202" s="20">
        <v>16</v>
      </c>
      <c r="AD202" s="20">
        <v>50</v>
      </c>
    </row>
    <row r="203" spans="2:30">
      <c r="B203" s="18">
        <v>50309</v>
      </c>
      <c r="C203" s="20" t="s">
        <v>310</v>
      </c>
      <c r="D203" s="20"/>
      <c r="E203" s="18">
        <v>9</v>
      </c>
      <c r="F203" s="19" t="str">
        <f t="shared" si="4"/>
        <v>5</v>
      </c>
      <c r="G203" s="18">
        <f>G$5+INT((ROWS(G$5:G202))/10)</f>
        <v>20</v>
      </c>
      <c r="H203" s="20" t="s">
        <v>293</v>
      </c>
      <c r="I203" s="18">
        <v>538</v>
      </c>
      <c r="J203" s="18">
        <v>32</v>
      </c>
      <c r="K203" s="18"/>
      <c r="L203" s="18">
        <v>3</v>
      </c>
      <c r="M203" s="18" t="str">
        <f t="shared" si="5"/>
        <v>503</v>
      </c>
      <c r="N203" s="18">
        <v>151</v>
      </c>
      <c r="O203" s="18">
        <v>581</v>
      </c>
      <c r="P203" s="20"/>
      <c r="Q203" s="20"/>
      <c r="R203" s="20"/>
      <c r="S203" s="18">
        <v>300</v>
      </c>
      <c r="T203" s="20" t="s">
        <v>311</v>
      </c>
      <c r="U203" s="18" t="s">
        <v>312</v>
      </c>
      <c r="V203" s="18"/>
      <c r="W203" s="18">
        <v>2</v>
      </c>
      <c r="X203" s="18" t="s">
        <v>92</v>
      </c>
      <c r="Y203" s="7" t="s">
        <v>304</v>
      </c>
      <c r="Z203" s="7">
        <v>35</v>
      </c>
      <c r="AA203" s="18" t="s">
        <v>150</v>
      </c>
      <c r="AB203" s="18">
        <v>1</v>
      </c>
      <c r="AC203" s="20">
        <v>18</v>
      </c>
      <c r="AD203" s="20">
        <v>50</v>
      </c>
    </row>
    <row r="204" spans="2:30">
      <c r="B204" s="18">
        <v>50310</v>
      </c>
      <c r="C204" s="20" t="s">
        <v>310</v>
      </c>
      <c r="D204" s="20"/>
      <c r="E204" s="18">
        <v>10</v>
      </c>
      <c r="F204" s="19" t="str">
        <f t="shared" si="4"/>
        <v>5</v>
      </c>
      <c r="G204" s="18">
        <f>G$5+INT((ROWS(G$5:G203))/10)</f>
        <v>20</v>
      </c>
      <c r="H204" s="20" t="s">
        <v>293</v>
      </c>
      <c r="I204" s="18">
        <v>657</v>
      </c>
      <c r="J204" s="18">
        <v>34</v>
      </c>
      <c r="K204" s="18"/>
      <c r="L204" s="18">
        <v>3</v>
      </c>
      <c r="M204" s="18" t="str">
        <f t="shared" si="5"/>
        <v>503</v>
      </c>
      <c r="N204" s="18">
        <v>160</v>
      </c>
      <c r="O204" s="18">
        <v>550</v>
      </c>
      <c r="P204" s="20"/>
      <c r="Q204" s="20"/>
      <c r="R204" s="20"/>
      <c r="S204" s="18">
        <v>300</v>
      </c>
      <c r="T204" s="20" t="s">
        <v>311</v>
      </c>
      <c r="U204" s="18" t="s">
        <v>312</v>
      </c>
      <c r="V204" s="18"/>
      <c r="W204" s="18">
        <v>2</v>
      </c>
      <c r="X204" s="18" t="s">
        <v>92</v>
      </c>
      <c r="Y204" s="7" t="s">
        <v>305</v>
      </c>
      <c r="Z204" s="7">
        <v>40</v>
      </c>
      <c r="AA204" s="18" t="s">
        <v>150</v>
      </c>
      <c r="AB204" s="18">
        <v>1</v>
      </c>
      <c r="AC204" s="20">
        <v>20</v>
      </c>
      <c r="AD204" s="20">
        <v>50</v>
      </c>
    </row>
    <row r="205" spans="2:30">
      <c r="B205" s="18">
        <v>50401</v>
      </c>
      <c r="C205" s="20" t="s">
        <v>313</v>
      </c>
      <c r="D205" s="20"/>
      <c r="E205" s="18">
        <v>1</v>
      </c>
      <c r="F205" s="19" t="str">
        <f t="shared" si="4"/>
        <v>5</v>
      </c>
      <c r="G205" s="18">
        <f>G$5+INT((ROWS(G$5:G204))/10)</f>
        <v>21</v>
      </c>
      <c r="H205" s="20" t="s">
        <v>314</v>
      </c>
      <c r="I205" s="18">
        <v>17</v>
      </c>
      <c r="J205" s="18">
        <v>10</v>
      </c>
      <c r="K205" s="18"/>
      <c r="L205" s="18">
        <v>3</v>
      </c>
      <c r="M205" s="18" t="str">
        <f t="shared" si="5"/>
        <v>504</v>
      </c>
      <c r="N205" s="18">
        <v>80</v>
      </c>
      <c r="O205" s="18">
        <v>1210</v>
      </c>
      <c r="P205" s="20"/>
      <c r="Q205" s="20"/>
      <c r="R205" s="20"/>
      <c r="S205" s="18">
        <v>300</v>
      </c>
      <c r="T205" s="20" t="s">
        <v>315</v>
      </c>
      <c r="U205" s="18" t="s">
        <v>316</v>
      </c>
      <c r="V205" s="18"/>
      <c r="W205" s="18">
        <v>2</v>
      </c>
      <c r="X205" s="18" t="s">
        <v>92</v>
      </c>
      <c r="Y205" s="7" t="s">
        <v>296</v>
      </c>
      <c r="Z205" s="6">
        <v>1</v>
      </c>
      <c r="AA205" s="18" t="s">
        <v>150</v>
      </c>
      <c r="AB205" s="18">
        <v>1</v>
      </c>
      <c r="AC205" s="20">
        <v>2</v>
      </c>
      <c r="AD205" s="20">
        <v>80</v>
      </c>
    </row>
    <row r="206" spans="2:30">
      <c r="B206" s="18">
        <v>50402</v>
      </c>
      <c r="C206" s="20" t="s">
        <v>313</v>
      </c>
      <c r="D206" s="20"/>
      <c r="E206" s="18">
        <v>2</v>
      </c>
      <c r="F206" s="19" t="str">
        <f t="shared" si="4"/>
        <v>5</v>
      </c>
      <c r="G206" s="18">
        <f>G$5+INT((ROWS(G$5:G205))/10)</f>
        <v>21</v>
      </c>
      <c r="H206" s="20" t="s">
        <v>314</v>
      </c>
      <c r="I206" s="18">
        <v>52</v>
      </c>
      <c r="J206" s="18">
        <v>10</v>
      </c>
      <c r="K206" s="18"/>
      <c r="L206" s="18">
        <v>3</v>
      </c>
      <c r="M206" s="18" t="str">
        <f t="shared" si="5"/>
        <v>504</v>
      </c>
      <c r="N206" s="18">
        <v>89</v>
      </c>
      <c r="O206" s="18">
        <v>1165</v>
      </c>
      <c r="P206" s="20"/>
      <c r="Q206" s="20"/>
      <c r="R206" s="20"/>
      <c r="S206" s="18">
        <v>300</v>
      </c>
      <c r="T206" s="20" t="s">
        <v>315</v>
      </c>
      <c r="U206" s="18" t="s">
        <v>316</v>
      </c>
      <c r="V206" s="18"/>
      <c r="W206" s="18">
        <v>2</v>
      </c>
      <c r="X206" s="18" t="s">
        <v>92</v>
      </c>
      <c r="Y206" s="7" t="s">
        <v>297</v>
      </c>
      <c r="Z206" s="7">
        <v>3</v>
      </c>
      <c r="AA206" s="18" t="s">
        <v>150</v>
      </c>
      <c r="AB206" s="18">
        <v>1</v>
      </c>
      <c r="AC206" s="20">
        <v>4</v>
      </c>
      <c r="AD206" s="20">
        <v>80</v>
      </c>
    </row>
    <row r="207" spans="2:30">
      <c r="B207" s="18">
        <v>50403</v>
      </c>
      <c r="C207" s="20" t="s">
        <v>313</v>
      </c>
      <c r="D207" s="20"/>
      <c r="E207" s="18">
        <v>3</v>
      </c>
      <c r="F207" s="19" t="str">
        <f t="shared" si="4"/>
        <v>5</v>
      </c>
      <c r="G207" s="18">
        <f>G$5+INT((ROWS(G$5:G206))/10)</f>
        <v>21</v>
      </c>
      <c r="H207" s="20" t="s">
        <v>314</v>
      </c>
      <c r="I207" s="18">
        <v>108</v>
      </c>
      <c r="J207" s="18">
        <v>14</v>
      </c>
      <c r="K207" s="18"/>
      <c r="L207" s="18">
        <v>3</v>
      </c>
      <c r="M207" s="18" t="str">
        <f t="shared" si="5"/>
        <v>504</v>
      </c>
      <c r="N207" s="18">
        <v>98</v>
      </c>
      <c r="O207" s="18">
        <v>1120</v>
      </c>
      <c r="P207" s="20"/>
      <c r="Q207" s="20"/>
      <c r="R207" s="20"/>
      <c r="S207" s="18">
        <v>300</v>
      </c>
      <c r="T207" s="20" t="s">
        <v>315</v>
      </c>
      <c r="U207" s="18" t="s">
        <v>316</v>
      </c>
      <c r="V207" s="18"/>
      <c r="W207" s="18">
        <v>2</v>
      </c>
      <c r="X207" s="18" t="s">
        <v>92</v>
      </c>
      <c r="Y207" s="7" t="s">
        <v>298</v>
      </c>
      <c r="Z207" s="7">
        <v>5</v>
      </c>
      <c r="AA207" s="18" t="s">
        <v>150</v>
      </c>
      <c r="AB207" s="18">
        <v>1</v>
      </c>
      <c r="AC207" s="20">
        <v>6</v>
      </c>
      <c r="AD207" s="20">
        <v>80</v>
      </c>
    </row>
    <row r="208" spans="2:30">
      <c r="B208" s="18">
        <v>50404</v>
      </c>
      <c r="C208" s="20" t="s">
        <v>313</v>
      </c>
      <c r="D208" s="20"/>
      <c r="E208" s="18">
        <v>4</v>
      </c>
      <c r="F208" s="19" t="str">
        <f t="shared" ref="F208:F264" si="6">LEFT(TEXT(B208,"0"),1)</f>
        <v>5</v>
      </c>
      <c r="G208" s="18">
        <f>G$5+INT((ROWS(G$5:G207))/10)</f>
        <v>21</v>
      </c>
      <c r="H208" s="20" t="s">
        <v>314</v>
      </c>
      <c r="I208" s="18">
        <v>191</v>
      </c>
      <c r="J208" s="18">
        <v>16</v>
      </c>
      <c r="K208" s="18"/>
      <c r="L208" s="18">
        <v>3</v>
      </c>
      <c r="M208" s="18" t="str">
        <f t="shared" si="5"/>
        <v>504</v>
      </c>
      <c r="N208" s="18">
        <v>107</v>
      </c>
      <c r="O208" s="18">
        <v>1076</v>
      </c>
      <c r="P208" s="20"/>
      <c r="Q208" s="20"/>
      <c r="R208" s="20"/>
      <c r="S208" s="18">
        <v>300</v>
      </c>
      <c r="T208" s="20" t="s">
        <v>315</v>
      </c>
      <c r="U208" s="18" t="s">
        <v>316</v>
      </c>
      <c r="V208" s="18"/>
      <c r="W208" s="18">
        <v>2</v>
      </c>
      <c r="X208" s="18" t="s">
        <v>92</v>
      </c>
      <c r="Y208" s="7" t="s">
        <v>299</v>
      </c>
      <c r="Z208" s="7">
        <v>10</v>
      </c>
      <c r="AA208" s="18" t="s">
        <v>150</v>
      </c>
      <c r="AB208" s="18">
        <v>1</v>
      </c>
      <c r="AC208" s="20">
        <v>8</v>
      </c>
      <c r="AD208" s="20">
        <v>80</v>
      </c>
    </row>
    <row r="209" spans="2:30">
      <c r="B209" s="18">
        <v>50405</v>
      </c>
      <c r="C209" s="20" t="s">
        <v>313</v>
      </c>
      <c r="D209" s="20"/>
      <c r="E209" s="18">
        <v>5</v>
      </c>
      <c r="F209" s="19" t="str">
        <f t="shared" si="6"/>
        <v>5</v>
      </c>
      <c r="G209" s="18">
        <f>G$5+INT((ROWS(G$5:G208))/10)</f>
        <v>21</v>
      </c>
      <c r="H209" s="20" t="s">
        <v>314</v>
      </c>
      <c r="I209" s="18">
        <v>230</v>
      </c>
      <c r="J209" s="18">
        <v>18</v>
      </c>
      <c r="K209" s="18"/>
      <c r="L209" s="18">
        <v>3</v>
      </c>
      <c r="M209" s="18" t="str">
        <f t="shared" si="5"/>
        <v>504</v>
      </c>
      <c r="N209" s="18">
        <v>116</v>
      </c>
      <c r="O209" s="18">
        <v>1031</v>
      </c>
      <c r="P209" s="20"/>
      <c r="Q209" s="20"/>
      <c r="R209" s="20"/>
      <c r="S209" s="18">
        <v>300</v>
      </c>
      <c r="T209" s="20" t="s">
        <v>315</v>
      </c>
      <c r="U209" s="18" t="s">
        <v>316</v>
      </c>
      <c r="V209" s="18"/>
      <c r="W209" s="18">
        <v>2</v>
      </c>
      <c r="X209" s="18" t="s">
        <v>92</v>
      </c>
      <c r="Y209" s="7" t="s">
        <v>300</v>
      </c>
      <c r="Z209" s="7">
        <v>15</v>
      </c>
      <c r="AA209" s="18" t="s">
        <v>150</v>
      </c>
      <c r="AB209" s="18">
        <v>1</v>
      </c>
      <c r="AC209" s="20">
        <v>10</v>
      </c>
      <c r="AD209" s="20">
        <v>80</v>
      </c>
    </row>
    <row r="210" spans="2:30">
      <c r="B210" s="18">
        <v>50406</v>
      </c>
      <c r="C210" s="20" t="s">
        <v>313</v>
      </c>
      <c r="D210" s="20"/>
      <c r="E210" s="18">
        <v>6</v>
      </c>
      <c r="F210" s="19" t="str">
        <f t="shared" si="6"/>
        <v>5</v>
      </c>
      <c r="G210" s="18">
        <f>G$5+INT((ROWS(G$5:G209))/10)</f>
        <v>21</v>
      </c>
      <c r="H210" s="20" t="s">
        <v>314</v>
      </c>
      <c r="I210" s="18">
        <v>309</v>
      </c>
      <c r="J210" s="18">
        <v>23</v>
      </c>
      <c r="K210" s="18"/>
      <c r="L210" s="18">
        <v>3</v>
      </c>
      <c r="M210" s="18" t="str">
        <f t="shared" si="5"/>
        <v>504</v>
      </c>
      <c r="N210" s="18">
        <v>124</v>
      </c>
      <c r="O210" s="18">
        <v>986</v>
      </c>
      <c r="P210" s="20"/>
      <c r="Q210" s="20"/>
      <c r="R210" s="20"/>
      <c r="S210" s="18">
        <v>300</v>
      </c>
      <c r="T210" s="20" t="s">
        <v>315</v>
      </c>
      <c r="U210" s="18" t="s">
        <v>316</v>
      </c>
      <c r="V210" s="18"/>
      <c r="W210" s="18">
        <v>2</v>
      </c>
      <c r="X210" s="18" t="s">
        <v>92</v>
      </c>
      <c r="Y210" s="7" t="s">
        <v>301</v>
      </c>
      <c r="Z210" s="7">
        <v>20</v>
      </c>
      <c r="AA210" s="18" t="s">
        <v>150</v>
      </c>
      <c r="AB210" s="18">
        <v>1</v>
      </c>
      <c r="AC210" s="20">
        <v>12</v>
      </c>
      <c r="AD210" s="20">
        <v>80</v>
      </c>
    </row>
    <row r="211" spans="2:30">
      <c r="B211" s="18">
        <v>50407</v>
      </c>
      <c r="C211" s="20" t="s">
        <v>313</v>
      </c>
      <c r="D211" s="20"/>
      <c r="E211" s="18">
        <v>7</v>
      </c>
      <c r="F211" s="19" t="str">
        <f t="shared" si="6"/>
        <v>5</v>
      </c>
      <c r="G211" s="18">
        <f>G$5+INT((ROWS(G$5:G210))/10)</f>
        <v>21</v>
      </c>
      <c r="H211" s="20" t="s">
        <v>314</v>
      </c>
      <c r="I211" s="18">
        <v>416</v>
      </c>
      <c r="J211" s="18">
        <v>25</v>
      </c>
      <c r="K211" s="18"/>
      <c r="L211" s="18">
        <v>3</v>
      </c>
      <c r="M211" s="18" t="str">
        <f t="shared" si="5"/>
        <v>504</v>
      </c>
      <c r="N211" s="18">
        <v>133</v>
      </c>
      <c r="O211" s="18">
        <v>941</v>
      </c>
      <c r="P211" s="20"/>
      <c r="Q211" s="20"/>
      <c r="R211" s="20"/>
      <c r="S211" s="18">
        <v>300</v>
      </c>
      <c r="T211" s="20" t="s">
        <v>315</v>
      </c>
      <c r="U211" s="18" t="s">
        <v>316</v>
      </c>
      <c r="V211" s="18"/>
      <c r="W211" s="18">
        <v>2</v>
      </c>
      <c r="X211" s="18" t="s">
        <v>92</v>
      </c>
      <c r="Y211" s="7" t="s">
        <v>302</v>
      </c>
      <c r="Z211" s="7">
        <v>25</v>
      </c>
      <c r="AA211" s="18" t="s">
        <v>150</v>
      </c>
      <c r="AB211" s="18">
        <v>1</v>
      </c>
      <c r="AC211" s="20">
        <v>14</v>
      </c>
      <c r="AD211" s="20">
        <v>80</v>
      </c>
    </row>
    <row r="212" spans="2:30">
      <c r="B212" s="18">
        <v>50408</v>
      </c>
      <c r="C212" s="20" t="s">
        <v>313</v>
      </c>
      <c r="D212" s="20"/>
      <c r="E212" s="18">
        <v>8</v>
      </c>
      <c r="F212" s="19" t="str">
        <f t="shared" si="6"/>
        <v>5</v>
      </c>
      <c r="G212" s="18">
        <f>G$5+INT((ROWS(G$5:G211))/10)</f>
        <v>21</v>
      </c>
      <c r="H212" s="20" t="s">
        <v>314</v>
      </c>
      <c r="I212" s="18">
        <v>449</v>
      </c>
      <c r="J212" s="18">
        <v>27</v>
      </c>
      <c r="K212" s="18"/>
      <c r="L212" s="18">
        <v>3</v>
      </c>
      <c r="M212" s="18" t="str">
        <f t="shared" si="5"/>
        <v>504</v>
      </c>
      <c r="N212" s="18">
        <v>142</v>
      </c>
      <c r="O212" s="18">
        <v>896</v>
      </c>
      <c r="P212" s="20"/>
      <c r="Q212" s="20"/>
      <c r="R212" s="20"/>
      <c r="S212" s="18">
        <v>300</v>
      </c>
      <c r="T212" s="20" t="s">
        <v>315</v>
      </c>
      <c r="U212" s="18" t="s">
        <v>316</v>
      </c>
      <c r="V212" s="18"/>
      <c r="W212" s="18">
        <v>2</v>
      </c>
      <c r="X212" s="18" t="s">
        <v>92</v>
      </c>
      <c r="Y212" s="7" t="s">
        <v>303</v>
      </c>
      <c r="Z212" s="7">
        <v>30</v>
      </c>
      <c r="AA212" s="18" t="s">
        <v>150</v>
      </c>
      <c r="AB212" s="18">
        <v>1</v>
      </c>
      <c r="AC212" s="20">
        <v>16</v>
      </c>
      <c r="AD212" s="20">
        <v>80</v>
      </c>
    </row>
    <row r="213" spans="2:30">
      <c r="B213" s="18">
        <v>50409</v>
      </c>
      <c r="C213" s="20" t="s">
        <v>313</v>
      </c>
      <c r="D213" s="20"/>
      <c r="E213" s="18">
        <v>9</v>
      </c>
      <c r="F213" s="19" t="str">
        <f t="shared" si="6"/>
        <v>5</v>
      </c>
      <c r="G213" s="18">
        <f>G$5+INT((ROWS(G$5:G212))/10)</f>
        <v>21</v>
      </c>
      <c r="H213" s="20" t="s">
        <v>314</v>
      </c>
      <c r="I213" s="18">
        <v>538</v>
      </c>
      <c r="J213" s="18">
        <v>32</v>
      </c>
      <c r="K213" s="18"/>
      <c r="L213" s="18">
        <v>3</v>
      </c>
      <c r="M213" s="18" t="str">
        <f t="shared" si="5"/>
        <v>504</v>
      </c>
      <c r="N213" s="18">
        <v>151</v>
      </c>
      <c r="O213" s="18">
        <v>851</v>
      </c>
      <c r="P213" s="20"/>
      <c r="Q213" s="20"/>
      <c r="R213" s="20"/>
      <c r="S213" s="18">
        <v>300</v>
      </c>
      <c r="T213" s="20" t="s">
        <v>315</v>
      </c>
      <c r="U213" s="18" t="s">
        <v>316</v>
      </c>
      <c r="V213" s="18"/>
      <c r="W213" s="18">
        <v>2</v>
      </c>
      <c r="X213" s="18" t="s">
        <v>92</v>
      </c>
      <c r="Y213" s="7" t="s">
        <v>304</v>
      </c>
      <c r="Z213" s="7">
        <v>35</v>
      </c>
      <c r="AA213" s="18" t="s">
        <v>150</v>
      </c>
      <c r="AB213" s="18">
        <v>1</v>
      </c>
      <c r="AC213" s="20">
        <v>18</v>
      </c>
      <c r="AD213" s="20">
        <v>80</v>
      </c>
    </row>
    <row r="214" spans="2:30">
      <c r="B214" s="18">
        <v>50410</v>
      </c>
      <c r="C214" s="20" t="s">
        <v>313</v>
      </c>
      <c r="D214" s="20"/>
      <c r="E214" s="18">
        <v>10</v>
      </c>
      <c r="F214" s="19" t="str">
        <f t="shared" si="6"/>
        <v>5</v>
      </c>
      <c r="G214" s="18">
        <f>G$5+INT((ROWS(G$5:G213))/10)</f>
        <v>21</v>
      </c>
      <c r="H214" s="20" t="s">
        <v>314</v>
      </c>
      <c r="I214" s="18">
        <v>657</v>
      </c>
      <c r="J214" s="18">
        <v>34</v>
      </c>
      <c r="K214" s="18"/>
      <c r="L214" s="18">
        <v>3</v>
      </c>
      <c r="M214" s="18" t="str">
        <f t="shared" si="5"/>
        <v>504</v>
      </c>
      <c r="N214" s="18">
        <v>160</v>
      </c>
      <c r="O214" s="18">
        <v>807</v>
      </c>
      <c r="P214" s="20"/>
      <c r="Q214" s="20"/>
      <c r="R214" s="20"/>
      <c r="S214" s="18">
        <v>300</v>
      </c>
      <c r="T214" s="20" t="s">
        <v>315</v>
      </c>
      <c r="U214" s="18" t="s">
        <v>316</v>
      </c>
      <c r="V214" s="18"/>
      <c r="W214" s="18">
        <v>2</v>
      </c>
      <c r="X214" s="18" t="s">
        <v>92</v>
      </c>
      <c r="Y214" s="7" t="s">
        <v>305</v>
      </c>
      <c r="Z214" s="7">
        <v>40</v>
      </c>
      <c r="AA214" s="18" t="s">
        <v>150</v>
      </c>
      <c r="AB214" s="18">
        <v>1</v>
      </c>
      <c r="AC214" s="20">
        <v>20</v>
      </c>
      <c r="AD214" s="20">
        <v>80</v>
      </c>
    </row>
    <row r="215" spans="2:30">
      <c r="B215" s="18">
        <v>50501</v>
      </c>
      <c r="C215" s="20" t="s">
        <v>317</v>
      </c>
      <c r="D215" s="20"/>
      <c r="E215" s="18">
        <v>1</v>
      </c>
      <c r="F215" s="19" t="str">
        <f t="shared" si="6"/>
        <v>5</v>
      </c>
      <c r="G215" s="18">
        <f>G$5+INT((ROWS(G$5:G214))/10)</f>
        <v>22</v>
      </c>
      <c r="H215" s="20">
        <v>3</v>
      </c>
      <c r="I215" s="18">
        <v>17</v>
      </c>
      <c r="J215" s="18">
        <v>10</v>
      </c>
      <c r="K215" s="18"/>
      <c r="L215" s="18">
        <v>3</v>
      </c>
      <c r="M215" s="18" t="str">
        <f t="shared" si="5"/>
        <v>505</v>
      </c>
      <c r="N215" s="18">
        <v>80</v>
      </c>
      <c r="O215" s="18">
        <v>1134</v>
      </c>
      <c r="P215" s="20"/>
      <c r="Q215" s="20"/>
      <c r="R215" s="20"/>
      <c r="S215" s="18">
        <v>300</v>
      </c>
      <c r="T215" s="20" t="s">
        <v>318</v>
      </c>
      <c r="U215" s="18" t="s">
        <v>319</v>
      </c>
      <c r="V215" s="18"/>
      <c r="W215" s="18">
        <v>2</v>
      </c>
      <c r="X215" s="18" t="s">
        <v>92</v>
      </c>
      <c r="Y215" s="7" t="s">
        <v>296</v>
      </c>
      <c r="Z215" s="6">
        <v>1</v>
      </c>
      <c r="AA215" s="18" t="s">
        <v>150</v>
      </c>
      <c r="AB215" s="18">
        <v>1</v>
      </c>
      <c r="AC215" s="20">
        <v>2</v>
      </c>
      <c r="AD215" s="20">
        <v>50</v>
      </c>
    </row>
    <row r="216" spans="2:30">
      <c r="B216" s="18">
        <v>50502</v>
      </c>
      <c r="C216" s="20" t="s">
        <v>317</v>
      </c>
      <c r="D216" s="20"/>
      <c r="E216" s="18">
        <v>2</v>
      </c>
      <c r="F216" s="19" t="str">
        <f t="shared" si="6"/>
        <v>5</v>
      </c>
      <c r="G216" s="18">
        <f>G$5+INT((ROWS(G$5:G215))/10)</f>
        <v>22</v>
      </c>
      <c r="H216" s="20">
        <v>3</v>
      </c>
      <c r="I216" s="18">
        <v>52</v>
      </c>
      <c r="J216" s="18">
        <v>10</v>
      </c>
      <c r="K216" s="18"/>
      <c r="L216" s="18">
        <v>3</v>
      </c>
      <c r="M216" s="18" t="str">
        <f t="shared" si="5"/>
        <v>505</v>
      </c>
      <c r="N216" s="18">
        <v>89</v>
      </c>
      <c r="O216" s="18">
        <v>1092</v>
      </c>
      <c r="P216" s="20"/>
      <c r="Q216" s="20"/>
      <c r="R216" s="20"/>
      <c r="S216" s="18">
        <v>300</v>
      </c>
      <c r="T216" s="20" t="s">
        <v>318</v>
      </c>
      <c r="U216" s="18" t="s">
        <v>319</v>
      </c>
      <c r="V216" s="18"/>
      <c r="W216" s="18">
        <v>2</v>
      </c>
      <c r="X216" s="18" t="s">
        <v>92</v>
      </c>
      <c r="Y216" s="7" t="s">
        <v>297</v>
      </c>
      <c r="Z216" s="7">
        <v>3</v>
      </c>
      <c r="AA216" s="18" t="s">
        <v>150</v>
      </c>
      <c r="AB216" s="18">
        <v>1</v>
      </c>
      <c r="AC216" s="20">
        <v>4</v>
      </c>
      <c r="AD216" s="20">
        <v>50</v>
      </c>
    </row>
    <row r="217" spans="2:30">
      <c r="B217" s="18">
        <v>50503</v>
      </c>
      <c r="C217" s="20" t="s">
        <v>317</v>
      </c>
      <c r="D217" s="20"/>
      <c r="E217" s="18">
        <v>3</v>
      </c>
      <c r="F217" s="19" t="str">
        <f t="shared" si="6"/>
        <v>5</v>
      </c>
      <c r="G217" s="18">
        <f>G$5+INT((ROWS(G$5:G216))/10)</f>
        <v>22</v>
      </c>
      <c r="H217" s="20">
        <v>3</v>
      </c>
      <c r="I217" s="18">
        <v>108</v>
      </c>
      <c r="J217" s="18">
        <v>14</v>
      </c>
      <c r="K217" s="18"/>
      <c r="L217" s="18">
        <v>3</v>
      </c>
      <c r="M217" s="18" t="str">
        <f t="shared" si="5"/>
        <v>505</v>
      </c>
      <c r="N217" s="18">
        <v>98</v>
      </c>
      <c r="O217" s="18">
        <v>1050</v>
      </c>
      <c r="P217" s="20"/>
      <c r="Q217" s="20"/>
      <c r="R217" s="20"/>
      <c r="S217" s="18">
        <v>300</v>
      </c>
      <c r="T217" s="20" t="s">
        <v>318</v>
      </c>
      <c r="U217" s="18" t="s">
        <v>319</v>
      </c>
      <c r="V217" s="18"/>
      <c r="W217" s="18">
        <v>2</v>
      </c>
      <c r="X217" s="18" t="s">
        <v>92</v>
      </c>
      <c r="Y217" s="7" t="s">
        <v>298</v>
      </c>
      <c r="Z217" s="7">
        <v>5</v>
      </c>
      <c r="AA217" s="18" t="s">
        <v>150</v>
      </c>
      <c r="AB217" s="18">
        <v>1</v>
      </c>
      <c r="AC217" s="20">
        <v>6</v>
      </c>
      <c r="AD217" s="20">
        <v>50</v>
      </c>
    </row>
    <row r="218" spans="2:30">
      <c r="B218" s="18">
        <v>50504</v>
      </c>
      <c r="C218" s="20" t="s">
        <v>317</v>
      </c>
      <c r="D218" s="20"/>
      <c r="E218" s="18">
        <v>4</v>
      </c>
      <c r="F218" s="19" t="str">
        <f t="shared" si="6"/>
        <v>5</v>
      </c>
      <c r="G218" s="18">
        <f>G$5+INT((ROWS(G$5:G217))/10)</f>
        <v>22</v>
      </c>
      <c r="H218" s="20">
        <v>3</v>
      </c>
      <c r="I218" s="18">
        <v>191</v>
      </c>
      <c r="J218" s="18">
        <v>16</v>
      </c>
      <c r="K218" s="18"/>
      <c r="L218" s="18">
        <v>3</v>
      </c>
      <c r="M218" s="18" t="str">
        <f t="shared" si="5"/>
        <v>505</v>
      </c>
      <c r="N218" s="18">
        <v>107</v>
      </c>
      <c r="O218" s="18">
        <v>1008</v>
      </c>
      <c r="P218" s="20"/>
      <c r="Q218" s="20"/>
      <c r="R218" s="20"/>
      <c r="S218" s="18">
        <v>300</v>
      </c>
      <c r="T218" s="20" t="s">
        <v>318</v>
      </c>
      <c r="U218" s="18" t="s">
        <v>319</v>
      </c>
      <c r="V218" s="18"/>
      <c r="W218" s="18">
        <v>2</v>
      </c>
      <c r="X218" s="18" t="s">
        <v>92</v>
      </c>
      <c r="Y218" s="7" t="s">
        <v>299</v>
      </c>
      <c r="Z218" s="7">
        <v>10</v>
      </c>
      <c r="AA218" s="18" t="s">
        <v>150</v>
      </c>
      <c r="AB218" s="18">
        <v>1</v>
      </c>
      <c r="AC218" s="20">
        <v>8</v>
      </c>
      <c r="AD218" s="20">
        <v>50</v>
      </c>
    </row>
    <row r="219" spans="2:30">
      <c r="B219" s="18">
        <v>50505</v>
      </c>
      <c r="C219" s="20" t="s">
        <v>317</v>
      </c>
      <c r="D219" s="20"/>
      <c r="E219" s="18">
        <v>5</v>
      </c>
      <c r="F219" s="19" t="str">
        <f t="shared" si="6"/>
        <v>5</v>
      </c>
      <c r="G219" s="18">
        <f>G$5+INT((ROWS(G$5:G218))/10)</f>
        <v>22</v>
      </c>
      <c r="H219" s="20">
        <v>3</v>
      </c>
      <c r="I219" s="18">
        <v>230</v>
      </c>
      <c r="J219" s="18">
        <v>18</v>
      </c>
      <c r="K219" s="18"/>
      <c r="L219" s="18">
        <v>3</v>
      </c>
      <c r="M219" s="18" t="str">
        <f t="shared" si="5"/>
        <v>505</v>
      </c>
      <c r="N219" s="18">
        <v>116</v>
      </c>
      <c r="O219" s="18">
        <v>966</v>
      </c>
      <c r="P219" s="20"/>
      <c r="Q219" s="20"/>
      <c r="R219" s="20"/>
      <c r="S219" s="18">
        <v>300</v>
      </c>
      <c r="T219" s="20" t="s">
        <v>318</v>
      </c>
      <c r="U219" s="18" t="s">
        <v>319</v>
      </c>
      <c r="V219" s="18"/>
      <c r="W219" s="18">
        <v>2</v>
      </c>
      <c r="X219" s="18" t="s">
        <v>92</v>
      </c>
      <c r="Y219" s="7" t="s">
        <v>300</v>
      </c>
      <c r="Z219" s="7">
        <v>15</v>
      </c>
      <c r="AA219" s="18" t="s">
        <v>150</v>
      </c>
      <c r="AB219" s="18">
        <v>1</v>
      </c>
      <c r="AC219" s="20">
        <v>10</v>
      </c>
      <c r="AD219" s="20">
        <v>50</v>
      </c>
    </row>
    <row r="220" spans="2:30">
      <c r="B220" s="18">
        <v>50506</v>
      </c>
      <c r="C220" s="20" t="s">
        <v>317</v>
      </c>
      <c r="D220" s="20"/>
      <c r="E220" s="18">
        <v>6</v>
      </c>
      <c r="F220" s="19" t="str">
        <f t="shared" si="6"/>
        <v>5</v>
      </c>
      <c r="G220" s="18">
        <f>G$5+INT((ROWS(G$5:G219))/10)</f>
        <v>22</v>
      </c>
      <c r="H220" s="20">
        <v>3</v>
      </c>
      <c r="I220" s="18">
        <v>309</v>
      </c>
      <c r="J220" s="18">
        <v>23</v>
      </c>
      <c r="K220" s="18"/>
      <c r="L220" s="18">
        <v>3</v>
      </c>
      <c r="M220" s="18" t="str">
        <f t="shared" si="5"/>
        <v>505</v>
      </c>
      <c r="N220" s="18">
        <v>124</v>
      </c>
      <c r="O220" s="18">
        <v>924</v>
      </c>
      <c r="P220" s="20"/>
      <c r="Q220" s="20"/>
      <c r="R220" s="20"/>
      <c r="S220" s="18">
        <v>300</v>
      </c>
      <c r="T220" s="20" t="s">
        <v>318</v>
      </c>
      <c r="U220" s="18" t="s">
        <v>319</v>
      </c>
      <c r="V220" s="18"/>
      <c r="W220" s="18">
        <v>2</v>
      </c>
      <c r="X220" s="18" t="s">
        <v>92</v>
      </c>
      <c r="Y220" s="7" t="s">
        <v>301</v>
      </c>
      <c r="Z220" s="7">
        <v>20</v>
      </c>
      <c r="AA220" s="18" t="s">
        <v>150</v>
      </c>
      <c r="AB220" s="18">
        <v>1</v>
      </c>
      <c r="AC220" s="20">
        <v>12</v>
      </c>
      <c r="AD220" s="20">
        <v>50</v>
      </c>
    </row>
    <row r="221" spans="2:30">
      <c r="B221" s="18">
        <v>50507</v>
      </c>
      <c r="C221" s="20" t="s">
        <v>317</v>
      </c>
      <c r="D221" s="20"/>
      <c r="E221" s="18">
        <v>7</v>
      </c>
      <c r="F221" s="19" t="str">
        <f t="shared" si="6"/>
        <v>5</v>
      </c>
      <c r="G221" s="18">
        <f>G$5+INT((ROWS(G$5:G220))/10)</f>
        <v>22</v>
      </c>
      <c r="H221" s="20">
        <v>3</v>
      </c>
      <c r="I221" s="18">
        <v>416</v>
      </c>
      <c r="J221" s="18">
        <v>25</v>
      </c>
      <c r="K221" s="18"/>
      <c r="L221" s="18">
        <v>3</v>
      </c>
      <c r="M221" s="18" t="str">
        <f t="shared" si="5"/>
        <v>505</v>
      </c>
      <c r="N221" s="18">
        <v>133</v>
      </c>
      <c r="O221" s="18">
        <v>882</v>
      </c>
      <c r="P221" s="20"/>
      <c r="Q221" s="20"/>
      <c r="R221" s="20"/>
      <c r="S221" s="18">
        <v>300</v>
      </c>
      <c r="T221" s="20" t="s">
        <v>318</v>
      </c>
      <c r="U221" s="18" t="s">
        <v>319</v>
      </c>
      <c r="V221" s="18"/>
      <c r="W221" s="18">
        <v>2</v>
      </c>
      <c r="X221" s="18" t="s">
        <v>92</v>
      </c>
      <c r="Y221" s="7" t="s">
        <v>302</v>
      </c>
      <c r="Z221" s="7">
        <v>25</v>
      </c>
      <c r="AA221" s="18" t="s">
        <v>150</v>
      </c>
      <c r="AB221" s="18">
        <v>1</v>
      </c>
      <c r="AC221" s="20">
        <v>14</v>
      </c>
      <c r="AD221" s="20">
        <v>50</v>
      </c>
    </row>
    <row r="222" spans="2:30">
      <c r="B222" s="18">
        <v>50508</v>
      </c>
      <c r="C222" s="20" t="s">
        <v>317</v>
      </c>
      <c r="D222" s="20"/>
      <c r="E222" s="18">
        <v>8</v>
      </c>
      <c r="F222" s="19" t="str">
        <f t="shared" si="6"/>
        <v>5</v>
      </c>
      <c r="G222" s="18">
        <f>G$5+INT((ROWS(G$5:G221))/10)</f>
        <v>22</v>
      </c>
      <c r="H222" s="20">
        <v>3</v>
      </c>
      <c r="I222" s="18">
        <v>449</v>
      </c>
      <c r="J222" s="18">
        <v>27</v>
      </c>
      <c r="K222" s="18"/>
      <c r="L222" s="18">
        <v>3</v>
      </c>
      <c r="M222" s="18" t="str">
        <f t="shared" si="5"/>
        <v>505</v>
      </c>
      <c r="N222" s="18">
        <v>142</v>
      </c>
      <c r="O222" s="18">
        <v>840</v>
      </c>
      <c r="P222" s="20"/>
      <c r="Q222" s="20"/>
      <c r="R222" s="20"/>
      <c r="S222" s="18">
        <v>300</v>
      </c>
      <c r="T222" s="20" t="s">
        <v>318</v>
      </c>
      <c r="U222" s="18" t="s">
        <v>319</v>
      </c>
      <c r="V222" s="18"/>
      <c r="W222" s="18">
        <v>2</v>
      </c>
      <c r="X222" s="18" t="s">
        <v>92</v>
      </c>
      <c r="Y222" s="7" t="s">
        <v>303</v>
      </c>
      <c r="Z222" s="7">
        <v>30</v>
      </c>
      <c r="AA222" s="18" t="s">
        <v>150</v>
      </c>
      <c r="AB222" s="18">
        <v>1</v>
      </c>
      <c r="AC222" s="20">
        <v>16</v>
      </c>
      <c r="AD222" s="20">
        <v>50</v>
      </c>
    </row>
    <row r="223" spans="2:30">
      <c r="B223" s="18">
        <v>50509</v>
      </c>
      <c r="C223" s="20" t="s">
        <v>317</v>
      </c>
      <c r="D223" s="20"/>
      <c r="E223" s="18">
        <v>9</v>
      </c>
      <c r="F223" s="19" t="str">
        <f t="shared" si="6"/>
        <v>5</v>
      </c>
      <c r="G223" s="18">
        <f>G$5+INT((ROWS(G$5:G222))/10)</f>
        <v>22</v>
      </c>
      <c r="H223" s="20">
        <v>3</v>
      </c>
      <c r="I223" s="18">
        <v>538</v>
      </c>
      <c r="J223" s="18">
        <v>32</v>
      </c>
      <c r="K223" s="18"/>
      <c r="L223" s="18">
        <v>3</v>
      </c>
      <c r="M223" s="18" t="str">
        <f t="shared" si="5"/>
        <v>505</v>
      </c>
      <c r="N223" s="18">
        <v>151</v>
      </c>
      <c r="O223" s="18">
        <v>798</v>
      </c>
      <c r="P223" s="20"/>
      <c r="Q223" s="20"/>
      <c r="R223" s="20"/>
      <c r="S223" s="18">
        <v>300</v>
      </c>
      <c r="T223" s="20" t="s">
        <v>318</v>
      </c>
      <c r="U223" s="18" t="s">
        <v>319</v>
      </c>
      <c r="V223" s="18"/>
      <c r="W223" s="18">
        <v>2</v>
      </c>
      <c r="X223" s="18" t="s">
        <v>92</v>
      </c>
      <c r="Y223" s="7" t="s">
        <v>304</v>
      </c>
      <c r="Z223" s="7">
        <v>35</v>
      </c>
      <c r="AA223" s="18" t="s">
        <v>150</v>
      </c>
      <c r="AB223" s="18">
        <v>1</v>
      </c>
      <c r="AC223" s="20">
        <v>18</v>
      </c>
      <c r="AD223" s="20">
        <v>50</v>
      </c>
    </row>
    <row r="224" spans="2:30">
      <c r="B224" s="18">
        <v>50510</v>
      </c>
      <c r="C224" s="20" t="s">
        <v>317</v>
      </c>
      <c r="D224" s="20"/>
      <c r="E224" s="18">
        <v>10</v>
      </c>
      <c r="F224" s="19" t="str">
        <f t="shared" si="6"/>
        <v>5</v>
      </c>
      <c r="G224" s="18">
        <f>G$5+INT((ROWS(G$5:G223))/10)</f>
        <v>22</v>
      </c>
      <c r="H224" s="20">
        <v>3</v>
      </c>
      <c r="I224" s="18">
        <v>657</v>
      </c>
      <c r="J224" s="18">
        <v>34</v>
      </c>
      <c r="K224" s="18"/>
      <c r="L224" s="18">
        <v>3</v>
      </c>
      <c r="M224" s="18" t="str">
        <f t="shared" si="5"/>
        <v>505</v>
      </c>
      <c r="N224" s="18">
        <v>160</v>
      </c>
      <c r="O224" s="18">
        <v>756</v>
      </c>
      <c r="P224" s="20"/>
      <c r="Q224" s="20"/>
      <c r="R224" s="20"/>
      <c r="S224" s="18">
        <v>300</v>
      </c>
      <c r="T224" s="20" t="s">
        <v>318</v>
      </c>
      <c r="U224" s="18" t="s">
        <v>319</v>
      </c>
      <c r="V224" s="18"/>
      <c r="W224" s="18">
        <v>2</v>
      </c>
      <c r="X224" s="18" t="s">
        <v>92</v>
      </c>
      <c r="Y224" s="7" t="s">
        <v>305</v>
      </c>
      <c r="Z224" s="7">
        <v>40</v>
      </c>
      <c r="AA224" s="18" t="s">
        <v>150</v>
      </c>
      <c r="AB224" s="18">
        <v>1</v>
      </c>
      <c r="AC224" s="20">
        <v>20</v>
      </c>
      <c r="AD224" s="20">
        <v>50</v>
      </c>
    </row>
    <row r="225" spans="2:30">
      <c r="B225" s="18">
        <v>50601</v>
      </c>
      <c r="C225" s="20" t="s">
        <v>320</v>
      </c>
      <c r="D225" s="20"/>
      <c r="E225" s="18">
        <v>1</v>
      </c>
      <c r="F225" s="19" t="str">
        <f t="shared" si="6"/>
        <v>5</v>
      </c>
      <c r="G225" s="18">
        <f>G$5+INT((ROWS(G$5:G224))/10)</f>
        <v>23</v>
      </c>
      <c r="H225" s="20" t="s">
        <v>321</v>
      </c>
      <c r="I225" s="18">
        <v>17</v>
      </c>
      <c r="J225" s="18">
        <v>10</v>
      </c>
      <c r="K225" s="18"/>
      <c r="L225" s="18">
        <v>3</v>
      </c>
      <c r="M225" s="18" t="str">
        <f t="shared" si="5"/>
        <v>506</v>
      </c>
      <c r="N225" s="18">
        <v>150</v>
      </c>
      <c r="O225" s="18">
        <v>1701</v>
      </c>
      <c r="P225" s="20"/>
      <c r="Q225" s="20"/>
      <c r="R225" s="20"/>
      <c r="S225" s="18">
        <v>300</v>
      </c>
      <c r="T225" s="20" t="s">
        <v>322</v>
      </c>
      <c r="U225" s="18" t="s">
        <v>323</v>
      </c>
      <c r="V225" s="18"/>
      <c r="W225" s="18">
        <v>2</v>
      </c>
      <c r="X225" s="18" t="s">
        <v>92</v>
      </c>
      <c r="Y225" s="7" t="s">
        <v>296</v>
      </c>
      <c r="Z225" s="6">
        <v>1</v>
      </c>
      <c r="AA225" s="18" t="s">
        <v>150</v>
      </c>
      <c r="AB225" s="18">
        <v>1</v>
      </c>
      <c r="AC225" s="20">
        <v>2</v>
      </c>
      <c r="AD225" s="20">
        <v>60</v>
      </c>
    </row>
    <row r="226" spans="2:30">
      <c r="B226" s="18">
        <v>50602</v>
      </c>
      <c r="C226" s="20" t="s">
        <v>320</v>
      </c>
      <c r="D226" s="20"/>
      <c r="E226" s="18">
        <v>2</v>
      </c>
      <c r="F226" s="19" t="str">
        <f t="shared" si="6"/>
        <v>5</v>
      </c>
      <c r="G226" s="18">
        <f>G$5+INT((ROWS(G$5:G225))/10)</f>
        <v>23</v>
      </c>
      <c r="H226" s="20" t="s">
        <v>321</v>
      </c>
      <c r="I226" s="18">
        <v>52</v>
      </c>
      <c r="J226" s="18">
        <v>10</v>
      </c>
      <c r="K226" s="18"/>
      <c r="L226" s="18">
        <v>3</v>
      </c>
      <c r="M226" s="18" t="str">
        <f t="shared" si="5"/>
        <v>506</v>
      </c>
      <c r="N226" s="18">
        <v>167</v>
      </c>
      <c r="O226" s="18">
        <v>1638</v>
      </c>
      <c r="P226" s="20"/>
      <c r="Q226" s="20"/>
      <c r="R226" s="20"/>
      <c r="S226" s="18">
        <v>300</v>
      </c>
      <c r="T226" s="20" t="s">
        <v>322</v>
      </c>
      <c r="U226" s="18" t="s">
        <v>323</v>
      </c>
      <c r="V226" s="18"/>
      <c r="W226" s="18">
        <v>2</v>
      </c>
      <c r="X226" s="18" t="s">
        <v>92</v>
      </c>
      <c r="Y226" s="7" t="s">
        <v>297</v>
      </c>
      <c r="Z226" s="7">
        <v>3</v>
      </c>
      <c r="AA226" s="18" t="s">
        <v>150</v>
      </c>
      <c r="AB226" s="18">
        <v>1</v>
      </c>
      <c r="AC226" s="20">
        <v>4</v>
      </c>
      <c r="AD226" s="20">
        <v>60</v>
      </c>
    </row>
    <row r="227" spans="2:30">
      <c r="B227" s="18">
        <v>50603</v>
      </c>
      <c r="C227" s="20" t="s">
        <v>320</v>
      </c>
      <c r="D227" s="20"/>
      <c r="E227" s="18">
        <v>3</v>
      </c>
      <c r="F227" s="19" t="str">
        <f t="shared" si="6"/>
        <v>5</v>
      </c>
      <c r="G227" s="18">
        <f>G$5+INT((ROWS(G$5:G226))/10)</f>
        <v>23</v>
      </c>
      <c r="H227" s="20" t="s">
        <v>321</v>
      </c>
      <c r="I227" s="18">
        <v>108</v>
      </c>
      <c r="J227" s="18">
        <v>14</v>
      </c>
      <c r="K227" s="18"/>
      <c r="L227" s="18">
        <v>3</v>
      </c>
      <c r="M227" s="18" t="str">
        <f t="shared" si="5"/>
        <v>506</v>
      </c>
      <c r="N227" s="18">
        <v>183</v>
      </c>
      <c r="O227" s="18">
        <v>1575</v>
      </c>
      <c r="P227" s="20"/>
      <c r="Q227" s="20"/>
      <c r="R227" s="20"/>
      <c r="S227" s="18">
        <v>300</v>
      </c>
      <c r="T227" s="20" t="s">
        <v>322</v>
      </c>
      <c r="U227" s="18" t="s">
        <v>323</v>
      </c>
      <c r="V227" s="18"/>
      <c r="W227" s="18">
        <v>2</v>
      </c>
      <c r="X227" s="18" t="s">
        <v>92</v>
      </c>
      <c r="Y227" s="7" t="s">
        <v>298</v>
      </c>
      <c r="Z227" s="7">
        <v>5</v>
      </c>
      <c r="AA227" s="18" t="s">
        <v>150</v>
      </c>
      <c r="AB227" s="18">
        <v>1</v>
      </c>
      <c r="AC227" s="20">
        <v>6</v>
      </c>
      <c r="AD227" s="20">
        <v>60</v>
      </c>
    </row>
    <row r="228" spans="2:30">
      <c r="B228" s="18">
        <v>50604</v>
      </c>
      <c r="C228" s="20" t="s">
        <v>320</v>
      </c>
      <c r="D228" s="20"/>
      <c r="E228" s="18">
        <v>4</v>
      </c>
      <c r="F228" s="19" t="str">
        <f t="shared" si="6"/>
        <v>5</v>
      </c>
      <c r="G228" s="18">
        <f>G$5+INT((ROWS(G$5:G227))/10)</f>
        <v>23</v>
      </c>
      <c r="H228" s="20" t="s">
        <v>321</v>
      </c>
      <c r="I228" s="18">
        <v>191</v>
      </c>
      <c r="J228" s="18">
        <v>16</v>
      </c>
      <c r="K228" s="18"/>
      <c r="L228" s="18">
        <v>3</v>
      </c>
      <c r="M228" s="18" t="str">
        <f t="shared" si="5"/>
        <v>506</v>
      </c>
      <c r="N228" s="18">
        <v>200</v>
      </c>
      <c r="O228" s="18">
        <v>1512</v>
      </c>
      <c r="P228" s="20"/>
      <c r="Q228" s="20"/>
      <c r="R228" s="20"/>
      <c r="S228" s="18">
        <v>300</v>
      </c>
      <c r="T228" s="20" t="s">
        <v>322</v>
      </c>
      <c r="U228" s="18" t="s">
        <v>323</v>
      </c>
      <c r="V228" s="18"/>
      <c r="W228" s="18">
        <v>2</v>
      </c>
      <c r="X228" s="18" t="s">
        <v>92</v>
      </c>
      <c r="Y228" s="7" t="s">
        <v>299</v>
      </c>
      <c r="Z228" s="7">
        <v>10</v>
      </c>
      <c r="AA228" s="18" t="s">
        <v>150</v>
      </c>
      <c r="AB228" s="18">
        <v>1</v>
      </c>
      <c r="AC228" s="20">
        <v>8</v>
      </c>
      <c r="AD228" s="20">
        <v>60</v>
      </c>
    </row>
    <row r="229" spans="2:30">
      <c r="B229" s="18">
        <v>50605</v>
      </c>
      <c r="C229" s="20" t="s">
        <v>320</v>
      </c>
      <c r="D229" s="20"/>
      <c r="E229" s="18">
        <v>5</v>
      </c>
      <c r="F229" s="19" t="str">
        <f t="shared" si="6"/>
        <v>5</v>
      </c>
      <c r="G229" s="18">
        <f>G$5+INT((ROWS(G$5:G228))/10)</f>
        <v>23</v>
      </c>
      <c r="H229" s="20" t="s">
        <v>321</v>
      </c>
      <c r="I229" s="18">
        <v>230</v>
      </c>
      <c r="J229" s="18">
        <v>18</v>
      </c>
      <c r="K229" s="18"/>
      <c r="L229" s="18">
        <v>3</v>
      </c>
      <c r="M229" s="18" t="str">
        <f t="shared" si="5"/>
        <v>506</v>
      </c>
      <c r="N229" s="18">
        <v>217</v>
      </c>
      <c r="O229" s="18">
        <v>1449</v>
      </c>
      <c r="P229" s="20"/>
      <c r="Q229" s="20"/>
      <c r="R229" s="20"/>
      <c r="S229" s="18">
        <v>300</v>
      </c>
      <c r="T229" s="20" t="s">
        <v>322</v>
      </c>
      <c r="U229" s="18" t="s">
        <v>323</v>
      </c>
      <c r="V229" s="18"/>
      <c r="W229" s="18">
        <v>2</v>
      </c>
      <c r="X229" s="18" t="s">
        <v>92</v>
      </c>
      <c r="Y229" s="7" t="s">
        <v>300</v>
      </c>
      <c r="Z229" s="7">
        <v>15</v>
      </c>
      <c r="AA229" s="18" t="s">
        <v>150</v>
      </c>
      <c r="AB229" s="18">
        <v>1</v>
      </c>
      <c r="AC229" s="20">
        <v>10</v>
      </c>
      <c r="AD229" s="20">
        <v>60</v>
      </c>
    </row>
    <row r="230" spans="2:30">
      <c r="B230" s="18">
        <v>50606</v>
      </c>
      <c r="C230" s="20" t="s">
        <v>320</v>
      </c>
      <c r="D230" s="20"/>
      <c r="E230" s="18">
        <v>6</v>
      </c>
      <c r="F230" s="19" t="str">
        <f t="shared" si="6"/>
        <v>5</v>
      </c>
      <c r="G230" s="18">
        <f>G$5+INT((ROWS(G$5:G229))/10)</f>
        <v>23</v>
      </c>
      <c r="H230" s="20" t="s">
        <v>321</v>
      </c>
      <c r="I230" s="18">
        <v>309</v>
      </c>
      <c r="J230" s="18">
        <v>23</v>
      </c>
      <c r="K230" s="18"/>
      <c r="L230" s="18">
        <v>3</v>
      </c>
      <c r="M230" s="18" t="str">
        <f t="shared" si="5"/>
        <v>506</v>
      </c>
      <c r="N230" s="18">
        <v>233</v>
      </c>
      <c r="O230" s="18">
        <v>1386</v>
      </c>
      <c r="P230" s="20"/>
      <c r="Q230" s="20"/>
      <c r="R230" s="20"/>
      <c r="S230" s="18">
        <v>300</v>
      </c>
      <c r="T230" s="20" t="s">
        <v>322</v>
      </c>
      <c r="U230" s="18" t="s">
        <v>323</v>
      </c>
      <c r="V230" s="18"/>
      <c r="W230" s="18">
        <v>2</v>
      </c>
      <c r="X230" s="18" t="s">
        <v>92</v>
      </c>
      <c r="Y230" s="7" t="s">
        <v>301</v>
      </c>
      <c r="Z230" s="7">
        <v>20</v>
      </c>
      <c r="AA230" s="18" t="s">
        <v>150</v>
      </c>
      <c r="AB230" s="18">
        <v>1</v>
      </c>
      <c r="AC230" s="20">
        <v>12</v>
      </c>
      <c r="AD230" s="20">
        <v>60</v>
      </c>
    </row>
    <row r="231" spans="2:30">
      <c r="B231" s="18">
        <v>50607</v>
      </c>
      <c r="C231" s="20" t="s">
        <v>320</v>
      </c>
      <c r="D231" s="20"/>
      <c r="E231" s="18">
        <v>7</v>
      </c>
      <c r="F231" s="19" t="str">
        <f t="shared" si="6"/>
        <v>5</v>
      </c>
      <c r="G231" s="18">
        <f>G$5+INT((ROWS(G$5:G230))/10)</f>
        <v>23</v>
      </c>
      <c r="H231" s="20" t="s">
        <v>321</v>
      </c>
      <c r="I231" s="18">
        <v>416</v>
      </c>
      <c r="J231" s="18">
        <v>25</v>
      </c>
      <c r="K231" s="18"/>
      <c r="L231" s="18">
        <v>3</v>
      </c>
      <c r="M231" s="18" t="str">
        <f t="shared" si="5"/>
        <v>506</v>
      </c>
      <c r="N231" s="18">
        <v>250</v>
      </c>
      <c r="O231" s="18">
        <v>1323</v>
      </c>
      <c r="P231" s="20"/>
      <c r="Q231" s="20"/>
      <c r="R231" s="20"/>
      <c r="S231" s="18">
        <v>300</v>
      </c>
      <c r="T231" s="20" t="s">
        <v>322</v>
      </c>
      <c r="U231" s="18" t="s">
        <v>323</v>
      </c>
      <c r="V231" s="18"/>
      <c r="W231" s="18">
        <v>2</v>
      </c>
      <c r="X231" s="18" t="s">
        <v>92</v>
      </c>
      <c r="Y231" s="7" t="s">
        <v>302</v>
      </c>
      <c r="Z231" s="7">
        <v>25</v>
      </c>
      <c r="AA231" s="18" t="s">
        <v>150</v>
      </c>
      <c r="AB231" s="18">
        <v>1</v>
      </c>
      <c r="AC231" s="20">
        <v>14</v>
      </c>
      <c r="AD231" s="20">
        <v>60</v>
      </c>
    </row>
    <row r="232" spans="2:30">
      <c r="B232" s="18">
        <v>50608</v>
      </c>
      <c r="C232" s="20" t="s">
        <v>320</v>
      </c>
      <c r="D232" s="20"/>
      <c r="E232" s="18">
        <v>8</v>
      </c>
      <c r="F232" s="19" t="str">
        <f t="shared" si="6"/>
        <v>5</v>
      </c>
      <c r="G232" s="18">
        <f>G$5+INT((ROWS(G$5:G231))/10)</f>
        <v>23</v>
      </c>
      <c r="H232" s="20" t="s">
        <v>321</v>
      </c>
      <c r="I232" s="18">
        <v>449</v>
      </c>
      <c r="J232" s="18">
        <v>27</v>
      </c>
      <c r="K232" s="18"/>
      <c r="L232" s="18">
        <v>3</v>
      </c>
      <c r="M232" s="18" t="str">
        <f t="shared" si="5"/>
        <v>506</v>
      </c>
      <c r="N232" s="18">
        <v>267</v>
      </c>
      <c r="O232" s="18">
        <v>1260</v>
      </c>
      <c r="P232" s="20"/>
      <c r="Q232" s="20"/>
      <c r="R232" s="20"/>
      <c r="S232" s="18">
        <v>300</v>
      </c>
      <c r="T232" s="20" t="s">
        <v>322</v>
      </c>
      <c r="U232" s="18" t="s">
        <v>323</v>
      </c>
      <c r="V232" s="18"/>
      <c r="W232" s="18">
        <v>2</v>
      </c>
      <c r="X232" s="18" t="s">
        <v>92</v>
      </c>
      <c r="Y232" s="7" t="s">
        <v>303</v>
      </c>
      <c r="Z232" s="7">
        <v>30</v>
      </c>
      <c r="AA232" s="18" t="s">
        <v>150</v>
      </c>
      <c r="AB232" s="18">
        <v>1</v>
      </c>
      <c r="AC232" s="20">
        <v>16</v>
      </c>
      <c r="AD232" s="20">
        <v>60</v>
      </c>
    </row>
    <row r="233" spans="2:30">
      <c r="B233" s="18">
        <v>50609</v>
      </c>
      <c r="C233" s="20" t="s">
        <v>320</v>
      </c>
      <c r="D233" s="20"/>
      <c r="E233" s="18">
        <v>9</v>
      </c>
      <c r="F233" s="19" t="str">
        <f t="shared" si="6"/>
        <v>5</v>
      </c>
      <c r="G233" s="18">
        <f>G$5+INT((ROWS(G$5:G232))/10)</f>
        <v>23</v>
      </c>
      <c r="H233" s="20" t="s">
        <v>321</v>
      </c>
      <c r="I233" s="18">
        <v>538</v>
      </c>
      <c r="J233" s="18">
        <v>32</v>
      </c>
      <c r="K233" s="18"/>
      <c r="L233" s="18">
        <v>3</v>
      </c>
      <c r="M233" s="18" t="str">
        <f t="shared" si="5"/>
        <v>506</v>
      </c>
      <c r="N233" s="18">
        <v>283</v>
      </c>
      <c r="O233" s="18">
        <v>1197</v>
      </c>
      <c r="P233" s="20"/>
      <c r="Q233" s="20"/>
      <c r="R233" s="20"/>
      <c r="S233" s="18">
        <v>300</v>
      </c>
      <c r="T233" s="20" t="s">
        <v>322</v>
      </c>
      <c r="U233" s="18" t="s">
        <v>323</v>
      </c>
      <c r="V233" s="18"/>
      <c r="W233" s="18">
        <v>2</v>
      </c>
      <c r="X233" s="18" t="s">
        <v>92</v>
      </c>
      <c r="Y233" s="7" t="s">
        <v>304</v>
      </c>
      <c r="Z233" s="7">
        <v>35</v>
      </c>
      <c r="AA233" s="18" t="s">
        <v>150</v>
      </c>
      <c r="AB233" s="18">
        <v>1</v>
      </c>
      <c r="AC233" s="20">
        <v>18</v>
      </c>
      <c r="AD233" s="20">
        <v>60</v>
      </c>
    </row>
    <row r="234" spans="2:30">
      <c r="B234" s="18">
        <v>50610</v>
      </c>
      <c r="C234" s="20" t="s">
        <v>320</v>
      </c>
      <c r="D234" s="20"/>
      <c r="E234" s="18">
        <v>10</v>
      </c>
      <c r="F234" s="19" t="str">
        <f t="shared" si="6"/>
        <v>5</v>
      </c>
      <c r="G234" s="18">
        <f>G$5+INT((ROWS(G$5:G233))/10)</f>
        <v>23</v>
      </c>
      <c r="H234" s="20" t="s">
        <v>321</v>
      </c>
      <c r="I234" s="18">
        <v>657</v>
      </c>
      <c r="J234" s="18">
        <v>34</v>
      </c>
      <c r="K234" s="18"/>
      <c r="L234" s="18">
        <v>3</v>
      </c>
      <c r="M234" s="18" t="str">
        <f t="shared" si="5"/>
        <v>506</v>
      </c>
      <c r="N234" s="18">
        <v>300</v>
      </c>
      <c r="O234" s="18">
        <v>1134</v>
      </c>
      <c r="P234" s="20"/>
      <c r="Q234" s="20"/>
      <c r="R234" s="20"/>
      <c r="S234" s="18">
        <v>300</v>
      </c>
      <c r="T234" s="20" t="s">
        <v>322</v>
      </c>
      <c r="U234" s="18" t="s">
        <v>323</v>
      </c>
      <c r="V234" s="18"/>
      <c r="W234" s="18">
        <v>2</v>
      </c>
      <c r="X234" s="18" t="s">
        <v>92</v>
      </c>
      <c r="Y234" s="7" t="s">
        <v>305</v>
      </c>
      <c r="Z234" s="7">
        <v>40</v>
      </c>
      <c r="AA234" s="18" t="s">
        <v>150</v>
      </c>
      <c r="AB234" s="18">
        <v>1</v>
      </c>
      <c r="AC234" s="20">
        <v>20</v>
      </c>
      <c r="AD234" s="20">
        <v>60</v>
      </c>
    </row>
    <row r="235" spans="2:30">
      <c r="B235" s="20">
        <v>50701</v>
      </c>
      <c r="C235" s="20" t="s">
        <v>324</v>
      </c>
      <c r="D235" s="20"/>
      <c r="E235" s="18">
        <v>1</v>
      </c>
      <c r="F235" s="19" t="str">
        <f t="shared" si="6"/>
        <v>5</v>
      </c>
      <c r="G235" s="18">
        <f>G$5+INT((ROWS(G$5:G234))/10)</f>
        <v>24</v>
      </c>
      <c r="H235" s="20" t="s">
        <v>293</v>
      </c>
      <c r="I235" s="18">
        <v>17</v>
      </c>
      <c r="J235" s="18">
        <v>10</v>
      </c>
      <c r="K235" s="18"/>
      <c r="L235" s="18">
        <v>3</v>
      </c>
      <c r="M235" s="18" t="str">
        <f t="shared" si="5"/>
        <v>507</v>
      </c>
      <c r="N235" s="18">
        <v>80</v>
      </c>
      <c r="O235" s="18">
        <v>1512</v>
      </c>
      <c r="P235" s="20"/>
      <c r="Q235" s="20"/>
      <c r="R235" s="20"/>
      <c r="S235" s="18">
        <v>300</v>
      </c>
      <c r="T235" s="20" t="s">
        <v>325</v>
      </c>
      <c r="U235" s="18" t="s">
        <v>326</v>
      </c>
      <c r="V235" s="18"/>
      <c r="W235" s="18">
        <v>2</v>
      </c>
      <c r="X235" s="18" t="s">
        <v>92</v>
      </c>
      <c r="Y235" s="7" t="s">
        <v>296</v>
      </c>
      <c r="Z235" s="6">
        <v>1</v>
      </c>
      <c r="AA235" s="18" t="s">
        <v>150</v>
      </c>
      <c r="AB235" s="18">
        <v>1</v>
      </c>
      <c r="AC235" s="20">
        <v>2</v>
      </c>
      <c r="AD235" s="20">
        <v>100</v>
      </c>
    </row>
    <row r="236" spans="2:30">
      <c r="B236" s="20">
        <v>50702</v>
      </c>
      <c r="C236" s="20" t="s">
        <v>324</v>
      </c>
      <c r="D236" s="20"/>
      <c r="E236" s="18">
        <v>2</v>
      </c>
      <c r="F236" s="19" t="str">
        <f t="shared" si="6"/>
        <v>5</v>
      </c>
      <c r="G236" s="18">
        <f>G$5+INT((ROWS(G$5:G235))/10)</f>
        <v>24</v>
      </c>
      <c r="H236" s="20" t="s">
        <v>293</v>
      </c>
      <c r="I236" s="18">
        <v>52</v>
      </c>
      <c r="J236" s="18">
        <v>10</v>
      </c>
      <c r="K236" s="18"/>
      <c r="L236" s="18">
        <v>3</v>
      </c>
      <c r="M236" s="18" t="str">
        <f t="shared" si="5"/>
        <v>507</v>
      </c>
      <c r="N236" s="18">
        <v>89</v>
      </c>
      <c r="O236" s="18">
        <v>1456</v>
      </c>
      <c r="P236" s="20"/>
      <c r="Q236" s="20"/>
      <c r="R236" s="20"/>
      <c r="S236" s="18">
        <v>300</v>
      </c>
      <c r="T236" s="20" t="s">
        <v>325</v>
      </c>
      <c r="U236" s="18" t="s">
        <v>326</v>
      </c>
      <c r="V236" s="18"/>
      <c r="W236" s="18">
        <v>2</v>
      </c>
      <c r="X236" s="18" t="s">
        <v>92</v>
      </c>
      <c r="Y236" s="7" t="s">
        <v>297</v>
      </c>
      <c r="Z236" s="7">
        <v>3</v>
      </c>
      <c r="AA236" s="18" t="s">
        <v>150</v>
      </c>
      <c r="AB236" s="18">
        <v>1</v>
      </c>
      <c r="AC236" s="20">
        <v>4</v>
      </c>
      <c r="AD236" s="20">
        <v>100</v>
      </c>
    </row>
    <row r="237" spans="2:30">
      <c r="B237" s="20">
        <v>50703</v>
      </c>
      <c r="C237" s="20" t="s">
        <v>324</v>
      </c>
      <c r="D237" s="20"/>
      <c r="E237" s="18">
        <v>3</v>
      </c>
      <c r="F237" s="19" t="str">
        <f t="shared" si="6"/>
        <v>5</v>
      </c>
      <c r="G237" s="18">
        <f>G$5+INT((ROWS(G$5:G236))/10)</f>
        <v>24</v>
      </c>
      <c r="H237" s="20" t="s">
        <v>293</v>
      </c>
      <c r="I237" s="18">
        <v>108</v>
      </c>
      <c r="J237" s="18">
        <v>14</v>
      </c>
      <c r="K237" s="18"/>
      <c r="L237" s="18">
        <v>3</v>
      </c>
      <c r="M237" s="18" t="str">
        <f t="shared" si="5"/>
        <v>507</v>
      </c>
      <c r="N237" s="18">
        <v>98</v>
      </c>
      <c r="O237" s="18">
        <v>1400</v>
      </c>
      <c r="P237" s="20"/>
      <c r="Q237" s="20"/>
      <c r="R237" s="20"/>
      <c r="S237" s="18">
        <v>300</v>
      </c>
      <c r="T237" s="20" t="s">
        <v>325</v>
      </c>
      <c r="U237" s="18" t="s">
        <v>326</v>
      </c>
      <c r="V237" s="18"/>
      <c r="W237" s="18">
        <v>2</v>
      </c>
      <c r="X237" s="18" t="s">
        <v>92</v>
      </c>
      <c r="Y237" s="7" t="s">
        <v>298</v>
      </c>
      <c r="Z237" s="7">
        <v>5</v>
      </c>
      <c r="AA237" s="18" t="s">
        <v>150</v>
      </c>
      <c r="AB237" s="18">
        <v>1</v>
      </c>
      <c r="AC237" s="20">
        <v>6</v>
      </c>
      <c r="AD237" s="20">
        <v>100</v>
      </c>
    </row>
    <row r="238" spans="2:30">
      <c r="B238" s="20">
        <v>50704</v>
      </c>
      <c r="C238" s="20" t="s">
        <v>324</v>
      </c>
      <c r="D238" s="20"/>
      <c r="E238" s="18">
        <v>4</v>
      </c>
      <c r="F238" s="19" t="str">
        <f t="shared" si="6"/>
        <v>5</v>
      </c>
      <c r="G238" s="18">
        <f>G$5+INT((ROWS(G$5:G237))/10)</f>
        <v>24</v>
      </c>
      <c r="H238" s="20" t="s">
        <v>293</v>
      </c>
      <c r="I238" s="18">
        <v>191</v>
      </c>
      <c r="J238" s="18">
        <v>16</v>
      </c>
      <c r="K238" s="18"/>
      <c r="L238" s="18">
        <v>3</v>
      </c>
      <c r="M238" s="18" t="str">
        <f t="shared" ref="M238:M254" si="7">LEFT(B238,3)</f>
        <v>507</v>
      </c>
      <c r="N238" s="18">
        <v>107</v>
      </c>
      <c r="O238" s="18">
        <v>1344</v>
      </c>
      <c r="P238" s="20"/>
      <c r="Q238" s="20"/>
      <c r="R238" s="20"/>
      <c r="S238" s="18">
        <v>300</v>
      </c>
      <c r="T238" s="20" t="s">
        <v>325</v>
      </c>
      <c r="U238" s="18" t="s">
        <v>326</v>
      </c>
      <c r="V238" s="18"/>
      <c r="W238" s="18">
        <v>2</v>
      </c>
      <c r="X238" s="18" t="s">
        <v>92</v>
      </c>
      <c r="Y238" s="7" t="s">
        <v>299</v>
      </c>
      <c r="Z238" s="7">
        <v>10</v>
      </c>
      <c r="AA238" s="18" t="s">
        <v>150</v>
      </c>
      <c r="AB238" s="18">
        <v>1</v>
      </c>
      <c r="AC238" s="20">
        <v>8</v>
      </c>
      <c r="AD238" s="20">
        <v>100</v>
      </c>
    </row>
    <row r="239" spans="2:30">
      <c r="B239" s="20">
        <v>50705</v>
      </c>
      <c r="C239" s="20" t="s">
        <v>324</v>
      </c>
      <c r="D239" s="20"/>
      <c r="E239" s="18">
        <v>5</v>
      </c>
      <c r="F239" s="19" t="str">
        <f t="shared" si="6"/>
        <v>5</v>
      </c>
      <c r="G239" s="18">
        <f>G$5+INT((ROWS(G$5:G238))/10)</f>
        <v>24</v>
      </c>
      <c r="H239" s="20" t="s">
        <v>293</v>
      </c>
      <c r="I239" s="18">
        <v>230</v>
      </c>
      <c r="J239" s="18">
        <v>18</v>
      </c>
      <c r="K239" s="18"/>
      <c r="L239" s="18">
        <v>3</v>
      </c>
      <c r="M239" s="18" t="str">
        <f t="shared" si="7"/>
        <v>507</v>
      </c>
      <c r="N239" s="18">
        <v>116</v>
      </c>
      <c r="O239" s="18">
        <v>1288</v>
      </c>
      <c r="P239" s="20"/>
      <c r="Q239" s="20"/>
      <c r="R239" s="20"/>
      <c r="S239" s="18">
        <v>300</v>
      </c>
      <c r="T239" s="20" t="s">
        <v>325</v>
      </c>
      <c r="U239" s="18" t="s">
        <v>326</v>
      </c>
      <c r="V239" s="18"/>
      <c r="W239" s="18">
        <v>2</v>
      </c>
      <c r="X239" s="18" t="s">
        <v>92</v>
      </c>
      <c r="Y239" s="7" t="s">
        <v>300</v>
      </c>
      <c r="Z239" s="7">
        <v>15</v>
      </c>
      <c r="AA239" s="18" t="s">
        <v>150</v>
      </c>
      <c r="AB239" s="18">
        <v>1</v>
      </c>
      <c r="AC239" s="20">
        <v>10</v>
      </c>
      <c r="AD239" s="20">
        <v>100</v>
      </c>
    </row>
    <row r="240" spans="2:30">
      <c r="B240" s="20">
        <v>50706</v>
      </c>
      <c r="C240" s="20" t="s">
        <v>324</v>
      </c>
      <c r="D240" s="20"/>
      <c r="E240" s="18">
        <v>6</v>
      </c>
      <c r="F240" s="19" t="str">
        <f t="shared" si="6"/>
        <v>5</v>
      </c>
      <c r="G240" s="18">
        <f>G$5+INT((ROWS(G$5:G239))/10)</f>
        <v>24</v>
      </c>
      <c r="H240" s="20" t="s">
        <v>293</v>
      </c>
      <c r="I240" s="18">
        <v>309</v>
      </c>
      <c r="J240" s="18">
        <v>23</v>
      </c>
      <c r="K240" s="18"/>
      <c r="L240" s="18">
        <v>3</v>
      </c>
      <c r="M240" s="18" t="str">
        <f t="shared" si="7"/>
        <v>507</v>
      </c>
      <c r="N240" s="18">
        <v>124</v>
      </c>
      <c r="O240" s="18">
        <v>1232</v>
      </c>
      <c r="P240" s="20"/>
      <c r="Q240" s="20"/>
      <c r="R240" s="20"/>
      <c r="S240" s="18">
        <v>300</v>
      </c>
      <c r="T240" s="20" t="s">
        <v>325</v>
      </c>
      <c r="U240" s="18" t="s">
        <v>326</v>
      </c>
      <c r="V240" s="18"/>
      <c r="W240" s="18">
        <v>2</v>
      </c>
      <c r="X240" s="18" t="s">
        <v>92</v>
      </c>
      <c r="Y240" s="7" t="s">
        <v>301</v>
      </c>
      <c r="Z240" s="7">
        <v>20</v>
      </c>
      <c r="AA240" s="18" t="s">
        <v>150</v>
      </c>
      <c r="AB240" s="18">
        <v>1</v>
      </c>
      <c r="AC240" s="20">
        <v>12</v>
      </c>
      <c r="AD240" s="20">
        <v>100</v>
      </c>
    </row>
    <row r="241" spans="2:30">
      <c r="B241" s="20">
        <v>50707</v>
      </c>
      <c r="C241" s="20" t="s">
        <v>324</v>
      </c>
      <c r="D241" s="20"/>
      <c r="E241" s="18">
        <v>7</v>
      </c>
      <c r="F241" s="19" t="str">
        <f t="shared" si="6"/>
        <v>5</v>
      </c>
      <c r="G241" s="18">
        <f>G$5+INT((ROWS(G$5:G240))/10)</f>
        <v>24</v>
      </c>
      <c r="H241" s="20" t="s">
        <v>293</v>
      </c>
      <c r="I241" s="18">
        <v>416</v>
      </c>
      <c r="J241" s="18">
        <v>25</v>
      </c>
      <c r="K241" s="18"/>
      <c r="L241" s="18">
        <v>3</v>
      </c>
      <c r="M241" s="18" t="str">
        <f t="shared" si="7"/>
        <v>507</v>
      </c>
      <c r="N241" s="18">
        <v>133</v>
      </c>
      <c r="O241" s="18">
        <v>1176</v>
      </c>
      <c r="P241" s="20"/>
      <c r="Q241" s="20"/>
      <c r="R241" s="20"/>
      <c r="S241" s="18">
        <v>300</v>
      </c>
      <c r="T241" s="20" t="s">
        <v>325</v>
      </c>
      <c r="U241" s="18" t="s">
        <v>326</v>
      </c>
      <c r="V241" s="18"/>
      <c r="W241" s="18">
        <v>2</v>
      </c>
      <c r="X241" s="18" t="s">
        <v>92</v>
      </c>
      <c r="Y241" s="7" t="s">
        <v>302</v>
      </c>
      <c r="Z241" s="7">
        <v>25</v>
      </c>
      <c r="AA241" s="18" t="s">
        <v>150</v>
      </c>
      <c r="AB241" s="18">
        <v>1</v>
      </c>
      <c r="AC241" s="20">
        <v>14</v>
      </c>
      <c r="AD241" s="20">
        <v>100</v>
      </c>
    </row>
    <row r="242" spans="2:30">
      <c r="B242" s="20">
        <v>50708</v>
      </c>
      <c r="C242" s="20" t="s">
        <v>324</v>
      </c>
      <c r="D242" s="20"/>
      <c r="E242" s="18">
        <v>8</v>
      </c>
      <c r="F242" s="19" t="str">
        <f t="shared" si="6"/>
        <v>5</v>
      </c>
      <c r="G242" s="18">
        <f>G$5+INT((ROWS(G$5:G241))/10)</f>
        <v>24</v>
      </c>
      <c r="H242" s="20" t="s">
        <v>293</v>
      </c>
      <c r="I242" s="18">
        <v>449</v>
      </c>
      <c r="J242" s="18">
        <v>27</v>
      </c>
      <c r="K242" s="18"/>
      <c r="L242" s="18">
        <v>3</v>
      </c>
      <c r="M242" s="18" t="str">
        <f t="shared" si="7"/>
        <v>507</v>
      </c>
      <c r="N242" s="18">
        <v>142</v>
      </c>
      <c r="O242" s="18">
        <v>1120</v>
      </c>
      <c r="P242" s="20"/>
      <c r="Q242" s="20"/>
      <c r="R242" s="20"/>
      <c r="S242" s="18">
        <v>300</v>
      </c>
      <c r="T242" s="20" t="s">
        <v>325</v>
      </c>
      <c r="U242" s="18" t="s">
        <v>326</v>
      </c>
      <c r="V242" s="18"/>
      <c r="W242" s="18">
        <v>2</v>
      </c>
      <c r="X242" s="18" t="s">
        <v>92</v>
      </c>
      <c r="Y242" s="7" t="s">
        <v>303</v>
      </c>
      <c r="Z242" s="7">
        <v>30</v>
      </c>
      <c r="AA242" s="18" t="s">
        <v>150</v>
      </c>
      <c r="AB242" s="18">
        <v>1</v>
      </c>
      <c r="AC242" s="20">
        <v>16</v>
      </c>
      <c r="AD242" s="20">
        <v>100</v>
      </c>
    </row>
    <row r="243" spans="2:30">
      <c r="B243" s="20">
        <v>50709</v>
      </c>
      <c r="C243" s="20" t="s">
        <v>324</v>
      </c>
      <c r="D243" s="20"/>
      <c r="E243" s="18">
        <v>9</v>
      </c>
      <c r="F243" s="19" t="str">
        <f t="shared" si="6"/>
        <v>5</v>
      </c>
      <c r="G243" s="18">
        <f>G$5+INT((ROWS(G$5:G242))/10)</f>
        <v>24</v>
      </c>
      <c r="H243" s="20" t="s">
        <v>293</v>
      </c>
      <c r="I243" s="18">
        <v>538</v>
      </c>
      <c r="J243" s="18">
        <v>32</v>
      </c>
      <c r="K243" s="18"/>
      <c r="L243" s="18">
        <v>3</v>
      </c>
      <c r="M243" s="18" t="str">
        <f t="shared" si="7"/>
        <v>507</v>
      </c>
      <c r="N243" s="18">
        <v>151</v>
      </c>
      <c r="O243" s="18">
        <v>1064</v>
      </c>
      <c r="P243" s="20"/>
      <c r="Q243" s="20"/>
      <c r="R243" s="20"/>
      <c r="S243" s="18">
        <v>300</v>
      </c>
      <c r="T243" s="20" t="s">
        <v>325</v>
      </c>
      <c r="U243" s="18" t="s">
        <v>326</v>
      </c>
      <c r="V243" s="18"/>
      <c r="W243" s="18">
        <v>2</v>
      </c>
      <c r="X243" s="18" t="s">
        <v>92</v>
      </c>
      <c r="Y243" s="7" t="s">
        <v>304</v>
      </c>
      <c r="Z243" s="7">
        <v>35</v>
      </c>
      <c r="AA243" s="18" t="s">
        <v>150</v>
      </c>
      <c r="AB243" s="18">
        <v>1</v>
      </c>
      <c r="AC243" s="20">
        <v>18</v>
      </c>
      <c r="AD243" s="20">
        <v>100</v>
      </c>
    </row>
    <row r="244" spans="2:30">
      <c r="B244" s="20">
        <v>50710</v>
      </c>
      <c r="C244" s="20" t="s">
        <v>324</v>
      </c>
      <c r="D244" s="20"/>
      <c r="E244" s="18">
        <v>10</v>
      </c>
      <c r="F244" s="19" t="str">
        <f t="shared" si="6"/>
        <v>5</v>
      </c>
      <c r="G244" s="18">
        <f>G$5+INT((ROWS(G$5:G243))/10)</f>
        <v>24</v>
      </c>
      <c r="H244" s="20" t="s">
        <v>293</v>
      </c>
      <c r="I244" s="18">
        <v>657</v>
      </c>
      <c r="J244" s="18">
        <v>34</v>
      </c>
      <c r="K244" s="18"/>
      <c r="L244" s="18">
        <v>3</v>
      </c>
      <c r="M244" s="18" t="str">
        <f t="shared" si="7"/>
        <v>507</v>
      </c>
      <c r="N244" s="18">
        <v>160</v>
      </c>
      <c r="O244" s="18">
        <v>1008</v>
      </c>
      <c r="P244" s="20"/>
      <c r="Q244" s="20"/>
      <c r="R244" s="20"/>
      <c r="S244" s="18">
        <v>300</v>
      </c>
      <c r="T244" s="20" t="s">
        <v>325</v>
      </c>
      <c r="U244" s="18" t="s">
        <v>326</v>
      </c>
      <c r="V244" s="18"/>
      <c r="W244" s="18">
        <v>2</v>
      </c>
      <c r="X244" s="18" t="s">
        <v>92</v>
      </c>
      <c r="Y244" s="7" t="s">
        <v>305</v>
      </c>
      <c r="Z244" s="7">
        <v>40</v>
      </c>
      <c r="AA244" s="18" t="s">
        <v>150</v>
      </c>
      <c r="AB244" s="18">
        <v>1</v>
      </c>
      <c r="AC244" s="20">
        <v>20</v>
      </c>
      <c r="AD244" s="20">
        <v>100</v>
      </c>
    </row>
    <row r="245" spans="2:30">
      <c r="B245" s="20">
        <v>50801</v>
      </c>
      <c r="C245" s="20" t="s">
        <v>327</v>
      </c>
      <c r="D245" s="20"/>
      <c r="E245" s="18">
        <v>1</v>
      </c>
      <c r="F245" s="19" t="str">
        <f t="shared" si="6"/>
        <v>5</v>
      </c>
      <c r="G245" s="18">
        <f>G$5+INT((ROWS(G$5:G244))/10)</f>
        <v>25</v>
      </c>
      <c r="H245" s="20" t="s">
        <v>328</v>
      </c>
      <c r="I245" s="18">
        <v>17</v>
      </c>
      <c r="J245" s="18">
        <v>10</v>
      </c>
      <c r="K245" s="18"/>
      <c r="L245" s="18">
        <v>3</v>
      </c>
      <c r="M245" s="18" t="str">
        <f t="shared" si="7"/>
        <v>508</v>
      </c>
      <c r="N245" s="18">
        <v>50</v>
      </c>
      <c r="O245" s="18">
        <v>284</v>
      </c>
      <c r="P245" s="20"/>
      <c r="Q245" s="20"/>
      <c r="R245" s="20"/>
      <c r="S245" s="18">
        <v>300</v>
      </c>
      <c r="T245" s="20" t="s">
        <v>329</v>
      </c>
      <c r="U245" s="18" t="s">
        <v>330</v>
      </c>
      <c r="V245" s="18"/>
      <c r="W245" s="18">
        <v>2</v>
      </c>
      <c r="X245" s="18" t="s">
        <v>92</v>
      </c>
      <c r="Y245" s="7" t="s">
        <v>296</v>
      </c>
      <c r="Z245" s="6">
        <v>1</v>
      </c>
      <c r="AA245" s="18" t="s">
        <v>150</v>
      </c>
      <c r="AB245" s="18">
        <v>1</v>
      </c>
      <c r="AC245" s="20">
        <v>2</v>
      </c>
      <c r="AD245" s="20">
        <v>30</v>
      </c>
    </row>
    <row r="246" spans="2:30">
      <c r="B246" s="20">
        <v>50802</v>
      </c>
      <c r="C246" s="20" t="s">
        <v>327</v>
      </c>
      <c r="D246" s="20"/>
      <c r="E246" s="18">
        <v>2</v>
      </c>
      <c r="F246" s="19" t="str">
        <f t="shared" si="6"/>
        <v>5</v>
      </c>
      <c r="G246" s="18">
        <f>G$5+INT((ROWS(G$5:G245))/10)</f>
        <v>25</v>
      </c>
      <c r="H246" s="20" t="s">
        <v>328</v>
      </c>
      <c r="I246" s="18">
        <v>52</v>
      </c>
      <c r="J246" s="18">
        <v>10</v>
      </c>
      <c r="K246" s="18"/>
      <c r="L246" s="18">
        <v>3</v>
      </c>
      <c r="M246" s="18" t="str">
        <f t="shared" si="7"/>
        <v>508</v>
      </c>
      <c r="N246" s="18">
        <v>56</v>
      </c>
      <c r="O246" s="18">
        <v>273</v>
      </c>
      <c r="P246" s="20"/>
      <c r="Q246" s="20"/>
      <c r="R246" s="20"/>
      <c r="S246" s="18">
        <v>300</v>
      </c>
      <c r="T246" s="20" t="s">
        <v>329</v>
      </c>
      <c r="U246" s="18" t="s">
        <v>330</v>
      </c>
      <c r="V246" s="18"/>
      <c r="W246" s="18">
        <v>2</v>
      </c>
      <c r="X246" s="18" t="s">
        <v>92</v>
      </c>
      <c r="Y246" s="7" t="s">
        <v>297</v>
      </c>
      <c r="Z246" s="7">
        <v>3</v>
      </c>
      <c r="AA246" s="18" t="s">
        <v>150</v>
      </c>
      <c r="AB246" s="18">
        <v>1</v>
      </c>
      <c r="AC246" s="20">
        <v>4</v>
      </c>
      <c r="AD246" s="20">
        <v>30</v>
      </c>
    </row>
    <row r="247" spans="2:30">
      <c r="B247" s="20">
        <v>50803</v>
      </c>
      <c r="C247" s="20" t="s">
        <v>327</v>
      </c>
      <c r="D247" s="20"/>
      <c r="E247" s="18">
        <v>3</v>
      </c>
      <c r="F247" s="19" t="str">
        <f t="shared" si="6"/>
        <v>5</v>
      </c>
      <c r="G247" s="18">
        <f>G$5+INT((ROWS(G$5:G246))/10)</f>
        <v>25</v>
      </c>
      <c r="H247" s="20" t="s">
        <v>328</v>
      </c>
      <c r="I247" s="18">
        <v>108</v>
      </c>
      <c r="J247" s="18">
        <v>14</v>
      </c>
      <c r="K247" s="18"/>
      <c r="L247" s="18">
        <v>3</v>
      </c>
      <c r="M247" s="18" t="str">
        <f t="shared" si="7"/>
        <v>508</v>
      </c>
      <c r="N247" s="18">
        <v>61</v>
      </c>
      <c r="O247" s="18">
        <v>263</v>
      </c>
      <c r="P247" s="20"/>
      <c r="Q247" s="20"/>
      <c r="R247" s="20"/>
      <c r="S247" s="18">
        <v>300</v>
      </c>
      <c r="T247" s="20" t="s">
        <v>329</v>
      </c>
      <c r="U247" s="18" t="s">
        <v>330</v>
      </c>
      <c r="V247" s="18"/>
      <c r="W247" s="18">
        <v>2</v>
      </c>
      <c r="X247" s="18" t="s">
        <v>92</v>
      </c>
      <c r="Y247" s="7" t="s">
        <v>298</v>
      </c>
      <c r="Z247" s="7">
        <v>5</v>
      </c>
      <c r="AA247" s="18" t="s">
        <v>150</v>
      </c>
      <c r="AB247" s="18">
        <v>1</v>
      </c>
      <c r="AC247" s="20">
        <v>6</v>
      </c>
      <c r="AD247" s="20">
        <v>30</v>
      </c>
    </row>
    <row r="248" spans="2:30">
      <c r="B248" s="20">
        <v>50804</v>
      </c>
      <c r="C248" s="20" t="s">
        <v>327</v>
      </c>
      <c r="D248" s="20"/>
      <c r="E248" s="18">
        <v>4</v>
      </c>
      <c r="F248" s="19" t="str">
        <f t="shared" si="6"/>
        <v>5</v>
      </c>
      <c r="G248" s="18">
        <f>G$5+INT((ROWS(G$5:G247))/10)</f>
        <v>25</v>
      </c>
      <c r="H248" s="20" t="s">
        <v>328</v>
      </c>
      <c r="I248" s="18">
        <v>191</v>
      </c>
      <c r="J248" s="18">
        <v>16</v>
      </c>
      <c r="K248" s="18"/>
      <c r="L248" s="18">
        <v>3</v>
      </c>
      <c r="M248" s="18" t="str">
        <f t="shared" si="7"/>
        <v>508</v>
      </c>
      <c r="N248" s="18">
        <v>67</v>
      </c>
      <c r="O248" s="18">
        <v>252</v>
      </c>
      <c r="P248" s="20"/>
      <c r="Q248" s="20"/>
      <c r="R248" s="20"/>
      <c r="S248" s="18">
        <v>300</v>
      </c>
      <c r="T248" s="20" t="s">
        <v>329</v>
      </c>
      <c r="U248" s="18" t="s">
        <v>330</v>
      </c>
      <c r="V248" s="18"/>
      <c r="W248" s="18">
        <v>2</v>
      </c>
      <c r="X248" s="18" t="s">
        <v>92</v>
      </c>
      <c r="Y248" s="7" t="s">
        <v>299</v>
      </c>
      <c r="Z248" s="7">
        <v>10</v>
      </c>
      <c r="AA248" s="18" t="s">
        <v>150</v>
      </c>
      <c r="AB248" s="18">
        <v>1</v>
      </c>
      <c r="AC248" s="20">
        <v>8</v>
      </c>
      <c r="AD248" s="20">
        <v>30</v>
      </c>
    </row>
    <row r="249" spans="2:30">
      <c r="B249" s="20">
        <v>50805</v>
      </c>
      <c r="C249" s="20" t="s">
        <v>327</v>
      </c>
      <c r="D249" s="20"/>
      <c r="E249" s="18">
        <v>5</v>
      </c>
      <c r="F249" s="19" t="str">
        <f t="shared" si="6"/>
        <v>5</v>
      </c>
      <c r="G249" s="18">
        <f>G$5+INT((ROWS(G$5:G248))/10)</f>
        <v>25</v>
      </c>
      <c r="H249" s="20" t="s">
        <v>328</v>
      </c>
      <c r="I249" s="18">
        <v>230</v>
      </c>
      <c r="J249" s="18">
        <v>18</v>
      </c>
      <c r="K249" s="18"/>
      <c r="L249" s="18">
        <v>3</v>
      </c>
      <c r="M249" s="18" t="str">
        <f t="shared" si="7"/>
        <v>508</v>
      </c>
      <c r="N249" s="18">
        <v>72</v>
      </c>
      <c r="O249" s="18">
        <v>242</v>
      </c>
      <c r="P249" s="20"/>
      <c r="Q249" s="20"/>
      <c r="R249" s="20"/>
      <c r="S249" s="18">
        <v>300</v>
      </c>
      <c r="T249" s="20" t="s">
        <v>329</v>
      </c>
      <c r="U249" s="18" t="s">
        <v>330</v>
      </c>
      <c r="V249" s="18"/>
      <c r="W249" s="18">
        <v>2</v>
      </c>
      <c r="X249" s="18" t="s">
        <v>92</v>
      </c>
      <c r="Y249" s="7" t="s">
        <v>300</v>
      </c>
      <c r="Z249" s="7">
        <v>15</v>
      </c>
      <c r="AA249" s="18" t="s">
        <v>150</v>
      </c>
      <c r="AB249" s="18">
        <v>1</v>
      </c>
      <c r="AC249" s="20">
        <v>10</v>
      </c>
      <c r="AD249" s="20">
        <v>30</v>
      </c>
    </row>
    <row r="250" spans="2:30">
      <c r="B250" s="20">
        <v>50806</v>
      </c>
      <c r="C250" s="20" t="s">
        <v>327</v>
      </c>
      <c r="D250" s="20"/>
      <c r="E250" s="18">
        <v>6</v>
      </c>
      <c r="F250" s="19" t="str">
        <f t="shared" si="6"/>
        <v>5</v>
      </c>
      <c r="G250" s="18">
        <f>G$5+INT((ROWS(G$5:G249))/10)</f>
        <v>25</v>
      </c>
      <c r="H250" s="20" t="s">
        <v>328</v>
      </c>
      <c r="I250" s="18">
        <v>309</v>
      </c>
      <c r="J250" s="18">
        <v>23</v>
      </c>
      <c r="K250" s="18"/>
      <c r="L250" s="18">
        <v>3</v>
      </c>
      <c r="M250" s="18" t="str">
        <f t="shared" si="7"/>
        <v>508</v>
      </c>
      <c r="N250" s="18">
        <v>78</v>
      </c>
      <c r="O250" s="18">
        <v>231</v>
      </c>
      <c r="P250" s="20"/>
      <c r="Q250" s="20"/>
      <c r="R250" s="20"/>
      <c r="S250" s="18">
        <v>300</v>
      </c>
      <c r="T250" s="20" t="s">
        <v>329</v>
      </c>
      <c r="U250" s="18" t="s">
        <v>330</v>
      </c>
      <c r="V250" s="18"/>
      <c r="W250" s="18">
        <v>2</v>
      </c>
      <c r="X250" s="18" t="s">
        <v>92</v>
      </c>
      <c r="Y250" s="7" t="s">
        <v>301</v>
      </c>
      <c r="Z250" s="7">
        <v>20</v>
      </c>
      <c r="AA250" s="18" t="s">
        <v>150</v>
      </c>
      <c r="AB250" s="18">
        <v>1</v>
      </c>
      <c r="AC250" s="20">
        <v>12</v>
      </c>
      <c r="AD250" s="20">
        <v>30</v>
      </c>
    </row>
    <row r="251" spans="2:30">
      <c r="B251" s="20">
        <v>50807</v>
      </c>
      <c r="C251" s="20" t="s">
        <v>327</v>
      </c>
      <c r="D251" s="20"/>
      <c r="E251" s="18">
        <v>7</v>
      </c>
      <c r="F251" s="19" t="str">
        <f t="shared" si="6"/>
        <v>5</v>
      </c>
      <c r="G251" s="18">
        <f>G$5+INT((ROWS(G$5:G250))/10)</f>
        <v>25</v>
      </c>
      <c r="H251" s="20" t="s">
        <v>328</v>
      </c>
      <c r="I251" s="18">
        <v>416</v>
      </c>
      <c r="J251" s="18">
        <v>25</v>
      </c>
      <c r="K251" s="18"/>
      <c r="L251" s="18">
        <v>3</v>
      </c>
      <c r="M251" s="18" t="str">
        <f t="shared" si="7"/>
        <v>508</v>
      </c>
      <c r="N251" s="18">
        <v>83</v>
      </c>
      <c r="O251" s="18">
        <v>221</v>
      </c>
      <c r="P251" s="20"/>
      <c r="Q251" s="20"/>
      <c r="R251" s="20"/>
      <c r="S251" s="18">
        <v>300</v>
      </c>
      <c r="T251" s="20" t="s">
        <v>329</v>
      </c>
      <c r="U251" s="18" t="s">
        <v>330</v>
      </c>
      <c r="V251" s="18"/>
      <c r="W251" s="18">
        <v>2</v>
      </c>
      <c r="X251" s="18" t="s">
        <v>92</v>
      </c>
      <c r="Y251" s="7" t="s">
        <v>302</v>
      </c>
      <c r="Z251" s="7">
        <v>25</v>
      </c>
      <c r="AA251" s="18" t="s">
        <v>150</v>
      </c>
      <c r="AB251" s="18">
        <v>1</v>
      </c>
      <c r="AC251" s="20">
        <v>14</v>
      </c>
      <c r="AD251" s="20">
        <v>30</v>
      </c>
    </row>
    <row r="252" spans="2:30">
      <c r="B252" s="20">
        <v>50808</v>
      </c>
      <c r="C252" s="20" t="s">
        <v>327</v>
      </c>
      <c r="D252" s="20"/>
      <c r="E252" s="18">
        <v>8</v>
      </c>
      <c r="F252" s="19" t="str">
        <f t="shared" si="6"/>
        <v>5</v>
      </c>
      <c r="G252" s="18">
        <f>G$5+INT((ROWS(G$5:G251))/10)</f>
        <v>25</v>
      </c>
      <c r="H252" s="20" t="s">
        <v>328</v>
      </c>
      <c r="I252" s="18">
        <v>449</v>
      </c>
      <c r="J252" s="18">
        <v>27</v>
      </c>
      <c r="K252" s="18"/>
      <c r="L252" s="18">
        <v>3</v>
      </c>
      <c r="M252" s="18" t="str">
        <f t="shared" si="7"/>
        <v>508</v>
      </c>
      <c r="N252" s="18">
        <v>89</v>
      </c>
      <c r="O252" s="18">
        <v>210</v>
      </c>
      <c r="P252" s="20"/>
      <c r="Q252" s="20"/>
      <c r="R252" s="20"/>
      <c r="S252" s="18">
        <v>300</v>
      </c>
      <c r="T252" s="20" t="s">
        <v>329</v>
      </c>
      <c r="U252" s="18" t="s">
        <v>330</v>
      </c>
      <c r="V252" s="18"/>
      <c r="W252" s="18">
        <v>2</v>
      </c>
      <c r="X252" s="18" t="s">
        <v>92</v>
      </c>
      <c r="Y252" s="7" t="s">
        <v>303</v>
      </c>
      <c r="Z252" s="7">
        <v>30</v>
      </c>
      <c r="AA252" s="18" t="s">
        <v>150</v>
      </c>
      <c r="AB252" s="18">
        <v>1</v>
      </c>
      <c r="AC252" s="20">
        <v>16</v>
      </c>
      <c r="AD252" s="20">
        <v>30</v>
      </c>
    </row>
    <row r="253" spans="2:30">
      <c r="B253" s="20">
        <v>50809</v>
      </c>
      <c r="C253" s="20" t="s">
        <v>327</v>
      </c>
      <c r="D253" s="20"/>
      <c r="E253" s="18">
        <v>9</v>
      </c>
      <c r="F253" s="19" t="str">
        <f t="shared" si="6"/>
        <v>5</v>
      </c>
      <c r="G253" s="18">
        <f>G$5+INT((ROWS(G$5:G252))/10)</f>
        <v>25</v>
      </c>
      <c r="H253" s="20" t="s">
        <v>328</v>
      </c>
      <c r="I253" s="18">
        <v>538</v>
      </c>
      <c r="J253" s="18">
        <v>32</v>
      </c>
      <c r="K253" s="18"/>
      <c r="L253" s="18">
        <v>3</v>
      </c>
      <c r="M253" s="18" t="str">
        <f t="shared" si="7"/>
        <v>508</v>
      </c>
      <c r="N253" s="18">
        <v>94</v>
      </c>
      <c r="O253" s="18">
        <v>200</v>
      </c>
      <c r="P253" s="20"/>
      <c r="Q253" s="20"/>
      <c r="R253" s="20"/>
      <c r="S253" s="18">
        <v>300</v>
      </c>
      <c r="T253" s="20" t="s">
        <v>329</v>
      </c>
      <c r="U253" s="18" t="s">
        <v>330</v>
      </c>
      <c r="V253" s="18"/>
      <c r="W253" s="18">
        <v>2</v>
      </c>
      <c r="X253" s="18" t="s">
        <v>92</v>
      </c>
      <c r="Y253" s="7" t="s">
        <v>304</v>
      </c>
      <c r="Z253" s="7">
        <v>35</v>
      </c>
      <c r="AA253" s="18" t="s">
        <v>150</v>
      </c>
      <c r="AB253" s="18">
        <v>1</v>
      </c>
      <c r="AC253" s="20">
        <v>18</v>
      </c>
      <c r="AD253" s="20">
        <v>30</v>
      </c>
    </row>
    <row r="254" spans="2:30">
      <c r="B254" s="20">
        <v>50810</v>
      </c>
      <c r="C254" s="20" t="s">
        <v>327</v>
      </c>
      <c r="D254" s="20"/>
      <c r="E254" s="18">
        <v>10</v>
      </c>
      <c r="F254" s="19" t="str">
        <f t="shared" si="6"/>
        <v>5</v>
      </c>
      <c r="G254" s="18">
        <f>G$5+INT((ROWS(G$5:G253))/10)</f>
        <v>25</v>
      </c>
      <c r="H254" s="20" t="s">
        <v>328</v>
      </c>
      <c r="I254" s="18">
        <v>657</v>
      </c>
      <c r="J254" s="18">
        <v>34</v>
      </c>
      <c r="K254" s="18"/>
      <c r="L254" s="18">
        <v>3</v>
      </c>
      <c r="M254" s="18" t="str">
        <f t="shared" si="7"/>
        <v>508</v>
      </c>
      <c r="N254" s="18">
        <v>100</v>
      </c>
      <c r="O254" s="18">
        <v>189</v>
      </c>
      <c r="P254" s="20"/>
      <c r="Q254" s="20"/>
      <c r="R254" s="20"/>
      <c r="S254" s="18">
        <v>300</v>
      </c>
      <c r="T254" s="20" t="s">
        <v>329</v>
      </c>
      <c r="U254" s="18" t="s">
        <v>330</v>
      </c>
      <c r="V254" s="18"/>
      <c r="W254" s="18">
        <v>2</v>
      </c>
      <c r="X254" s="18" t="s">
        <v>92</v>
      </c>
      <c r="Y254" s="7" t="s">
        <v>305</v>
      </c>
      <c r="Z254" s="7">
        <v>40</v>
      </c>
      <c r="AA254" s="18" t="s">
        <v>150</v>
      </c>
      <c r="AB254" s="18">
        <v>1</v>
      </c>
      <c r="AC254" s="20">
        <v>20</v>
      </c>
      <c r="AD254" s="20">
        <v>30</v>
      </c>
    </row>
    <row r="255" spans="2:30">
      <c r="B255" s="20">
        <v>60101</v>
      </c>
      <c r="C255" s="20" t="s">
        <v>331</v>
      </c>
      <c r="D255" s="20"/>
      <c r="E255" s="18">
        <v>1</v>
      </c>
      <c r="F255" s="19" t="str">
        <f t="shared" si="6"/>
        <v>6</v>
      </c>
      <c r="G255" s="20">
        <v>601</v>
      </c>
      <c r="H255" s="20"/>
      <c r="I255" s="18">
        <v>3</v>
      </c>
      <c r="J255" s="18">
        <v>0</v>
      </c>
      <c r="K255" s="20"/>
      <c r="L255" s="20"/>
      <c r="M255" s="18"/>
      <c r="N255" s="18">
        <v>10</v>
      </c>
      <c r="O255" s="18">
        <v>4</v>
      </c>
      <c r="P255" s="20"/>
      <c r="Q255" s="20"/>
      <c r="R255" s="20"/>
      <c r="S255" s="20"/>
      <c r="T255" s="20" t="s">
        <v>332</v>
      </c>
      <c r="U255" s="18" t="s">
        <v>333</v>
      </c>
      <c r="V255" s="18"/>
      <c r="W255" s="18">
        <v>2</v>
      </c>
      <c r="X255" s="18" t="s">
        <v>92</v>
      </c>
      <c r="Y255" s="7" t="s">
        <v>334</v>
      </c>
      <c r="Z255" s="6">
        <v>1</v>
      </c>
      <c r="AA255" s="18" t="s">
        <v>79</v>
      </c>
      <c r="AB255" s="18">
        <v>0</v>
      </c>
      <c r="AC255" s="20">
        <v>2</v>
      </c>
      <c r="AD255" s="20"/>
    </row>
    <row r="256" spans="2:30">
      <c r="B256" s="20">
        <v>60102</v>
      </c>
      <c r="C256" s="20" t="s">
        <v>331</v>
      </c>
      <c r="D256" s="20"/>
      <c r="E256" s="18">
        <v>2</v>
      </c>
      <c r="F256" s="19" t="str">
        <f t="shared" si="6"/>
        <v>6</v>
      </c>
      <c r="G256" s="20">
        <v>601</v>
      </c>
      <c r="H256" s="20"/>
      <c r="I256" s="18">
        <v>3</v>
      </c>
      <c r="J256" s="18">
        <v>0</v>
      </c>
      <c r="K256" s="20"/>
      <c r="L256" s="20"/>
      <c r="M256" s="18"/>
      <c r="N256" s="18">
        <v>10</v>
      </c>
      <c r="O256" s="18">
        <v>4</v>
      </c>
      <c r="P256" s="20"/>
      <c r="Q256" s="20"/>
      <c r="R256" s="20"/>
      <c r="S256" s="20"/>
      <c r="T256" s="20" t="s">
        <v>332</v>
      </c>
      <c r="U256" s="18" t="s">
        <v>333</v>
      </c>
      <c r="V256" s="18"/>
      <c r="W256" s="18">
        <v>2</v>
      </c>
      <c r="X256" s="18" t="s">
        <v>92</v>
      </c>
      <c r="Y256" s="7" t="s">
        <v>335</v>
      </c>
      <c r="Z256" s="7">
        <v>3</v>
      </c>
      <c r="AA256" s="18" t="s">
        <v>79</v>
      </c>
      <c r="AB256" s="18">
        <v>0</v>
      </c>
      <c r="AC256" s="20">
        <v>2</v>
      </c>
      <c r="AD256" s="20"/>
    </row>
    <row r="257" spans="2:30">
      <c r="B257" s="20">
        <v>60103</v>
      </c>
      <c r="C257" s="20" t="s">
        <v>331</v>
      </c>
      <c r="D257" s="20"/>
      <c r="E257" s="18">
        <v>3</v>
      </c>
      <c r="F257" s="19" t="str">
        <f t="shared" si="6"/>
        <v>6</v>
      </c>
      <c r="G257" s="20">
        <v>601</v>
      </c>
      <c r="H257" s="20"/>
      <c r="I257" s="18">
        <v>5</v>
      </c>
      <c r="J257" s="18">
        <v>0</v>
      </c>
      <c r="K257" s="20"/>
      <c r="L257" s="20"/>
      <c r="M257" s="18"/>
      <c r="N257" s="18">
        <v>10</v>
      </c>
      <c r="O257" s="18">
        <v>4</v>
      </c>
      <c r="P257" s="20"/>
      <c r="Q257" s="20"/>
      <c r="R257" s="20"/>
      <c r="S257" s="20"/>
      <c r="T257" s="20" t="s">
        <v>332</v>
      </c>
      <c r="U257" s="18" t="s">
        <v>333</v>
      </c>
      <c r="V257" s="18"/>
      <c r="W257" s="18">
        <v>2</v>
      </c>
      <c r="X257" s="18" t="s">
        <v>92</v>
      </c>
      <c r="Y257" s="7" t="s">
        <v>336</v>
      </c>
      <c r="Z257" s="7">
        <v>5</v>
      </c>
      <c r="AA257" s="18" t="s">
        <v>79</v>
      </c>
      <c r="AB257" s="18">
        <v>0</v>
      </c>
      <c r="AC257" s="20">
        <v>2</v>
      </c>
      <c r="AD257" s="20"/>
    </row>
    <row r="258" spans="2:30">
      <c r="B258" s="20">
        <v>60104</v>
      </c>
      <c r="C258" s="20" t="s">
        <v>331</v>
      </c>
      <c r="D258" s="20"/>
      <c r="E258" s="18">
        <v>4</v>
      </c>
      <c r="F258" s="19" t="str">
        <f t="shared" si="6"/>
        <v>6</v>
      </c>
      <c r="G258" s="20">
        <v>601</v>
      </c>
      <c r="H258" s="20"/>
      <c r="I258" s="18">
        <v>10</v>
      </c>
      <c r="J258" s="18">
        <v>0</v>
      </c>
      <c r="K258" s="20"/>
      <c r="L258" s="20"/>
      <c r="M258" s="18"/>
      <c r="N258" s="18">
        <v>10</v>
      </c>
      <c r="O258" s="18">
        <v>4</v>
      </c>
      <c r="P258" s="20"/>
      <c r="Q258" s="20"/>
      <c r="R258" s="20"/>
      <c r="S258" s="20"/>
      <c r="T258" s="20" t="s">
        <v>332</v>
      </c>
      <c r="U258" s="18" t="s">
        <v>333</v>
      </c>
      <c r="V258" s="18"/>
      <c r="W258" s="18">
        <v>2</v>
      </c>
      <c r="X258" s="18" t="s">
        <v>92</v>
      </c>
      <c r="Y258" s="7" t="s">
        <v>337</v>
      </c>
      <c r="Z258" s="7">
        <v>10</v>
      </c>
      <c r="AA258" s="18" t="s">
        <v>79</v>
      </c>
      <c r="AB258" s="18">
        <v>0</v>
      </c>
      <c r="AC258" s="20">
        <v>2</v>
      </c>
      <c r="AD258" s="20"/>
    </row>
    <row r="259" spans="2:30">
      <c r="B259" s="20">
        <v>60105</v>
      </c>
      <c r="C259" s="20" t="s">
        <v>331</v>
      </c>
      <c r="D259" s="20"/>
      <c r="E259" s="18">
        <v>5</v>
      </c>
      <c r="F259" s="19" t="str">
        <f t="shared" si="6"/>
        <v>6</v>
      </c>
      <c r="G259" s="20">
        <v>601</v>
      </c>
      <c r="H259" s="20"/>
      <c r="I259" s="18">
        <v>12</v>
      </c>
      <c r="J259" s="18">
        <v>0</v>
      </c>
      <c r="K259" s="20"/>
      <c r="L259" s="20"/>
      <c r="M259" s="18"/>
      <c r="N259" s="18">
        <v>10</v>
      </c>
      <c r="O259" s="18">
        <v>4</v>
      </c>
      <c r="P259" s="20"/>
      <c r="Q259" s="20"/>
      <c r="R259" s="20"/>
      <c r="S259" s="20"/>
      <c r="T259" s="20" t="s">
        <v>332</v>
      </c>
      <c r="U259" s="18" t="s">
        <v>333</v>
      </c>
      <c r="V259" s="18"/>
      <c r="W259" s="18">
        <v>2</v>
      </c>
      <c r="X259" s="18" t="s">
        <v>92</v>
      </c>
      <c r="Y259" s="7" t="s">
        <v>338</v>
      </c>
      <c r="Z259" s="7">
        <v>15</v>
      </c>
      <c r="AA259" s="18" t="s">
        <v>79</v>
      </c>
      <c r="AB259" s="18">
        <v>0</v>
      </c>
      <c r="AC259" s="20">
        <v>2</v>
      </c>
      <c r="AD259" s="20"/>
    </row>
    <row r="260" spans="2:30">
      <c r="B260" s="20">
        <v>60106</v>
      </c>
      <c r="C260" s="20" t="s">
        <v>331</v>
      </c>
      <c r="D260" s="20"/>
      <c r="E260" s="18">
        <v>6</v>
      </c>
      <c r="F260" s="19" t="str">
        <f t="shared" si="6"/>
        <v>6</v>
      </c>
      <c r="G260" s="20">
        <v>601</v>
      </c>
      <c r="H260" s="20"/>
      <c r="I260" s="18">
        <v>15</v>
      </c>
      <c r="J260" s="18">
        <v>0</v>
      </c>
      <c r="K260" s="20"/>
      <c r="L260" s="20"/>
      <c r="M260" s="18"/>
      <c r="N260" s="18">
        <v>10</v>
      </c>
      <c r="O260" s="18">
        <v>4</v>
      </c>
      <c r="P260" s="20"/>
      <c r="Q260" s="20"/>
      <c r="R260" s="20"/>
      <c r="S260" s="20"/>
      <c r="T260" s="20" t="s">
        <v>332</v>
      </c>
      <c r="U260" s="18" t="s">
        <v>333</v>
      </c>
      <c r="V260" s="18"/>
      <c r="W260" s="18">
        <v>2</v>
      </c>
      <c r="X260" s="18" t="s">
        <v>92</v>
      </c>
      <c r="Y260" s="7" t="s">
        <v>339</v>
      </c>
      <c r="Z260" s="7">
        <v>20</v>
      </c>
      <c r="AA260" s="18" t="s">
        <v>79</v>
      </c>
      <c r="AB260" s="18">
        <v>0</v>
      </c>
      <c r="AC260" s="20">
        <v>2</v>
      </c>
      <c r="AD260" s="20"/>
    </row>
    <row r="261" spans="2:30">
      <c r="B261" s="20">
        <v>60107</v>
      </c>
      <c r="C261" s="20" t="s">
        <v>331</v>
      </c>
      <c r="D261" s="20"/>
      <c r="E261" s="18">
        <v>7</v>
      </c>
      <c r="F261" s="19" t="str">
        <f t="shared" si="6"/>
        <v>6</v>
      </c>
      <c r="G261" s="20">
        <v>601</v>
      </c>
      <c r="H261" s="20"/>
      <c r="I261" s="18">
        <v>21</v>
      </c>
      <c r="J261" s="18">
        <v>0</v>
      </c>
      <c r="K261" s="20"/>
      <c r="L261" s="20"/>
      <c r="M261" s="18"/>
      <c r="N261" s="18">
        <v>10</v>
      </c>
      <c r="O261" s="18">
        <v>4</v>
      </c>
      <c r="P261" s="20"/>
      <c r="Q261" s="20"/>
      <c r="R261" s="20"/>
      <c r="S261" s="20"/>
      <c r="T261" s="20" t="s">
        <v>332</v>
      </c>
      <c r="U261" s="18" t="s">
        <v>333</v>
      </c>
      <c r="V261" s="18"/>
      <c r="W261" s="18">
        <v>2</v>
      </c>
      <c r="X261" s="18" t="s">
        <v>92</v>
      </c>
      <c r="Y261" s="7" t="s">
        <v>340</v>
      </c>
      <c r="Z261" s="7">
        <v>25</v>
      </c>
      <c r="AA261" s="18" t="s">
        <v>79</v>
      </c>
      <c r="AB261" s="18">
        <v>0</v>
      </c>
      <c r="AC261" s="20">
        <v>2</v>
      </c>
      <c r="AD261" s="20"/>
    </row>
    <row r="262" spans="2:30">
      <c r="B262" s="20">
        <v>60108</v>
      </c>
      <c r="C262" s="20" t="s">
        <v>331</v>
      </c>
      <c r="D262" s="20"/>
      <c r="E262" s="18">
        <v>8</v>
      </c>
      <c r="F262" s="19" t="str">
        <f t="shared" si="6"/>
        <v>6</v>
      </c>
      <c r="G262" s="20">
        <v>601</v>
      </c>
      <c r="H262" s="20"/>
      <c r="I262" s="18">
        <v>22</v>
      </c>
      <c r="J262" s="18">
        <v>0</v>
      </c>
      <c r="K262" s="20"/>
      <c r="L262" s="20"/>
      <c r="M262" s="18"/>
      <c r="N262" s="18">
        <v>10</v>
      </c>
      <c r="O262" s="18">
        <v>4</v>
      </c>
      <c r="P262" s="20"/>
      <c r="Q262" s="20"/>
      <c r="R262" s="20"/>
      <c r="S262" s="20"/>
      <c r="T262" s="20" t="s">
        <v>332</v>
      </c>
      <c r="U262" s="18" t="s">
        <v>333</v>
      </c>
      <c r="V262" s="18"/>
      <c r="W262" s="18">
        <v>2</v>
      </c>
      <c r="X262" s="18" t="s">
        <v>92</v>
      </c>
      <c r="Y262" s="7" t="s">
        <v>341</v>
      </c>
      <c r="Z262" s="7">
        <v>30</v>
      </c>
      <c r="AA262" s="18" t="s">
        <v>79</v>
      </c>
      <c r="AB262" s="18">
        <v>0</v>
      </c>
      <c r="AC262" s="20">
        <v>2</v>
      </c>
      <c r="AD262" s="20"/>
    </row>
    <row r="263" spans="2:30">
      <c r="B263" s="20">
        <v>60109</v>
      </c>
      <c r="C263" s="20" t="s">
        <v>331</v>
      </c>
      <c r="D263" s="20"/>
      <c r="E263" s="18">
        <v>9</v>
      </c>
      <c r="F263" s="19" t="str">
        <f t="shared" si="6"/>
        <v>6</v>
      </c>
      <c r="G263" s="20">
        <v>601</v>
      </c>
      <c r="H263" s="20"/>
      <c r="I263" s="18">
        <v>27</v>
      </c>
      <c r="J263" s="18">
        <v>0</v>
      </c>
      <c r="K263" s="20"/>
      <c r="L263" s="20"/>
      <c r="M263" s="18"/>
      <c r="N263" s="18">
        <v>10</v>
      </c>
      <c r="O263" s="18">
        <v>4</v>
      </c>
      <c r="P263" s="20"/>
      <c r="Q263" s="20"/>
      <c r="R263" s="20"/>
      <c r="S263" s="20"/>
      <c r="T263" s="20" t="s">
        <v>332</v>
      </c>
      <c r="U263" s="18" t="s">
        <v>333</v>
      </c>
      <c r="V263" s="18"/>
      <c r="W263" s="18">
        <v>2</v>
      </c>
      <c r="X263" s="18" t="s">
        <v>92</v>
      </c>
      <c r="Y263" s="7" t="s">
        <v>342</v>
      </c>
      <c r="Z263" s="7">
        <v>35</v>
      </c>
      <c r="AA263" s="18" t="s">
        <v>79</v>
      </c>
      <c r="AB263" s="18">
        <v>0</v>
      </c>
      <c r="AC263" s="20">
        <v>2</v>
      </c>
      <c r="AD263" s="20"/>
    </row>
    <row r="264" spans="2:30">
      <c r="B264" s="20">
        <v>60110</v>
      </c>
      <c r="C264" s="20" t="s">
        <v>331</v>
      </c>
      <c r="D264" s="20"/>
      <c r="E264" s="18">
        <v>10</v>
      </c>
      <c r="F264" s="19" t="str">
        <f t="shared" si="6"/>
        <v>6</v>
      </c>
      <c r="G264" s="20">
        <v>601</v>
      </c>
      <c r="H264" s="20"/>
      <c r="I264" s="18">
        <v>33</v>
      </c>
      <c r="J264" s="18">
        <v>0</v>
      </c>
      <c r="K264" s="20"/>
      <c r="L264" s="20"/>
      <c r="M264" s="18"/>
      <c r="N264" s="18">
        <v>10</v>
      </c>
      <c r="O264" s="18">
        <v>4</v>
      </c>
      <c r="P264" s="20"/>
      <c r="Q264" s="20"/>
      <c r="R264" s="20"/>
      <c r="S264" s="20"/>
      <c r="T264" s="20" t="s">
        <v>332</v>
      </c>
      <c r="U264" s="18" t="s">
        <v>333</v>
      </c>
      <c r="V264" s="18"/>
      <c r="W264" s="18">
        <v>2</v>
      </c>
      <c r="X264" s="18" t="s">
        <v>92</v>
      </c>
      <c r="Y264" s="7" t="s">
        <v>343</v>
      </c>
      <c r="Z264" s="7">
        <v>40</v>
      </c>
      <c r="AA264" s="18" t="s">
        <v>79</v>
      </c>
      <c r="AB264" s="18">
        <v>0</v>
      </c>
      <c r="AC264" s="20">
        <v>2</v>
      </c>
      <c r="AD264" s="20"/>
    </row>
    <row r="265" spans="2:30">
      <c r="B265" s="20">
        <v>70101</v>
      </c>
      <c r="C265" s="20" t="s">
        <v>344</v>
      </c>
      <c r="D265" s="20"/>
      <c r="E265" s="18">
        <v>1</v>
      </c>
      <c r="F265" s="19" t="str">
        <f t="shared" ref="F265:F274" si="8">LEFT(TEXT(B265,"0"),1)</f>
        <v>7</v>
      </c>
      <c r="G265" s="20">
        <v>701</v>
      </c>
      <c r="H265" s="20"/>
      <c r="I265" s="18">
        <v>3</v>
      </c>
      <c r="J265" s="18">
        <v>0</v>
      </c>
      <c r="K265" s="20"/>
      <c r="L265" s="20"/>
      <c r="M265" s="18"/>
      <c r="N265" s="18">
        <v>10</v>
      </c>
      <c r="O265" s="18">
        <v>4</v>
      </c>
      <c r="P265" s="20"/>
      <c r="Q265" s="20"/>
      <c r="R265" s="20"/>
      <c r="S265" s="20"/>
      <c r="T265" s="20" t="s">
        <v>332</v>
      </c>
      <c r="U265" s="18" t="s">
        <v>333</v>
      </c>
      <c r="V265" s="18"/>
      <c r="W265" s="18">
        <v>2</v>
      </c>
      <c r="X265" s="18" t="s">
        <v>92</v>
      </c>
      <c r="Y265" s="7" t="s">
        <v>334</v>
      </c>
      <c r="Z265" s="6">
        <v>1</v>
      </c>
      <c r="AA265" s="18" t="s">
        <v>79</v>
      </c>
      <c r="AB265" s="18">
        <v>0</v>
      </c>
      <c r="AC265" s="20">
        <v>2</v>
      </c>
      <c r="AD265" s="20"/>
    </row>
    <row r="266" spans="2:30">
      <c r="B266" s="20">
        <v>70102</v>
      </c>
      <c r="C266" s="20" t="s">
        <v>344</v>
      </c>
      <c r="D266" s="20"/>
      <c r="E266" s="18">
        <v>2</v>
      </c>
      <c r="F266" s="19" t="str">
        <f t="shared" si="8"/>
        <v>7</v>
      </c>
      <c r="G266" s="20">
        <v>701</v>
      </c>
      <c r="H266" s="20"/>
      <c r="I266" s="18">
        <v>3</v>
      </c>
      <c r="J266" s="18">
        <v>0</v>
      </c>
      <c r="K266" s="20"/>
      <c r="L266" s="20"/>
      <c r="M266" s="18"/>
      <c r="N266" s="18">
        <v>10</v>
      </c>
      <c r="O266" s="18">
        <v>4</v>
      </c>
      <c r="P266" s="20"/>
      <c r="Q266" s="20"/>
      <c r="R266" s="20"/>
      <c r="S266" s="20"/>
      <c r="T266" s="20" t="s">
        <v>332</v>
      </c>
      <c r="U266" s="18" t="s">
        <v>333</v>
      </c>
      <c r="V266" s="18"/>
      <c r="W266" s="18">
        <v>2</v>
      </c>
      <c r="X266" s="18" t="s">
        <v>92</v>
      </c>
      <c r="Y266" s="7" t="s">
        <v>335</v>
      </c>
      <c r="Z266" s="7">
        <v>3</v>
      </c>
      <c r="AA266" s="18" t="s">
        <v>79</v>
      </c>
      <c r="AB266" s="18">
        <v>0</v>
      </c>
      <c r="AC266" s="20">
        <v>2</v>
      </c>
      <c r="AD266" s="20"/>
    </row>
    <row r="267" spans="2:30">
      <c r="B267" s="20">
        <v>70103</v>
      </c>
      <c r="C267" s="20" t="s">
        <v>344</v>
      </c>
      <c r="D267" s="20"/>
      <c r="E267" s="18">
        <v>3</v>
      </c>
      <c r="F267" s="19" t="str">
        <f t="shared" si="8"/>
        <v>7</v>
      </c>
      <c r="G267" s="20">
        <v>701</v>
      </c>
      <c r="H267" s="20"/>
      <c r="I267" s="18">
        <v>5</v>
      </c>
      <c r="J267" s="18">
        <v>0</v>
      </c>
      <c r="K267" s="20"/>
      <c r="L267" s="20"/>
      <c r="M267" s="18"/>
      <c r="N267" s="18">
        <v>10</v>
      </c>
      <c r="O267" s="18">
        <v>4</v>
      </c>
      <c r="P267" s="20"/>
      <c r="Q267" s="20"/>
      <c r="R267" s="20"/>
      <c r="S267" s="20"/>
      <c r="T267" s="20" t="s">
        <v>332</v>
      </c>
      <c r="U267" s="18" t="s">
        <v>333</v>
      </c>
      <c r="V267" s="18"/>
      <c r="W267" s="18">
        <v>2</v>
      </c>
      <c r="X267" s="18" t="s">
        <v>92</v>
      </c>
      <c r="Y267" s="7" t="s">
        <v>336</v>
      </c>
      <c r="Z267" s="7">
        <v>5</v>
      </c>
      <c r="AA267" s="18" t="s">
        <v>79</v>
      </c>
      <c r="AB267" s="18">
        <v>0</v>
      </c>
      <c r="AC267" s="20">
        <v>2</v>
      </c>
      <c r="AD267" s="20"/>
    </row>
    <row r="268" spans="2:30">
      <c r="B268" s="20">
        <v>70104</v>
      </c>
      <c r="C268" s="20" t="s">
        <v>344</v>
      </c>
      <c r="D268" s="20"/>
      <c r="E268" s="18">
        <v>4</v>
      </c>
      <c r="F268" s="19" t="str">
        <f t="shared" si="8"/>
        <v>7</v>
      </c>
      <c r="G268" s="20">
        <v>701</v>
      </c>
      <c r="H268" s="20"/>
      <c r="I268" s="18">
        <v>10</v>
      </c>
      <c r="J268" s="18">
        <v>0</v>
      </c>
      <c r="K268" s="20"/>
      <c r="L268" s="20"/>
      <c r="M268" s="18"/>
      <c r="N268" s="18">
        <v>10</v>
      </c>
      <c r="O268" s="18">
        <v>4</v>
      </c>
      <c r="P268" s="20"/>
      <c r="Q268" s="20"/>
      <c r="R268" s="20"/>
      <c r="S268" s="20"/>
      <c r="T268" s="20" t="s">
        <v>332</v>
      </c>
      <c r="U268" s="18" t="s">
        <v>333</v>
      </c>
      <c r="V268" s="18"/>
      <c r="W268" s="18">
        <v>2</v>
      </c>
      <c r="X268" s="18" t="s">
        <v>92</v>
      </c>
      <c r="Y268" s="7" t="s">
        <v>337</v>
      </c>
      <c r="Z268" s="7">
        <v>10</v>
      </c>
      <c r="AA268" s="18" t="s">
        <v>79</v>
      </c>
      <c r="AB268" s="18">
        <v>0</v>
      </c>
      <c r="AC268" s="20">
        <v>2</v>
      </c>
      <c r="AD268" s="20"/>
    </row>
    <row r="269" spans="2:30">
      <c r="B269" s="20">
        <v>70105</v>
      </c>
      <c r="C269" s="20" t="s">
        <v>344</v>
      </c>
      <c r="D269" s="20"/>
      <c r="E269" s="18">
        <v>5</v>
      </c>
      <c r="F269" s="19" t="str">
        <f t="shared" si="8"/>
        <v>7</v>
      </c>
      <c r="G269" s="20">
        <v>701</v>
      </c>
      <c r="H269" s="20"/>
      <c r="I269" s="18">
        <v>12</v>
      </c>
      <c r="J269" s="18">
        <v>0</v>
      </c>
      <c r="K269" s="20"/>
      <c r="L269" s="20"/>
      <c r="M269" s="18"/>
      <c r="N269" s="18">
        <v>10</v>
      </c>
      <c r="O269" s="18">
        <v>4</v>
      </c>
      <c r="P269" s="20"/>
      <c r="Q269" s="20"/>
      <c r="R269" s="20"/>
      <c r="S269" s="20"/>
      <c r="T269" s="20" t="s">
        <v>332</v>
      </c>
      <c r="U269" s="18" t="s">
        <v>333</v>
      </c>
      <c r="V269" s="18"/>
      <c r="W269" s="18">
        <v>2</v>
      </c>
      <c r="X269" s="18" t="s">
        <v>92</v>
      </c>
      <c r="Y269" s="7" t="s">
        <v>338</v>
      </c>
      <c r="Z269" s="7">
        <v>15</v>
      </c>
      <c r="AA269" s="18" t="s">
        <v>79</v>
      </c>
      <c r="AB269" s="18">
        <v>0</v>
      </c>
      <c r="AC269" s="20">
        <v>2</v>
      </c>
      <c r="AD269" s="20"/>
    </row>
    <row r="270" spans="2:30">
      <c r="B270" s="20">
        <v>70106</v>
      </c>
      <c r="C270" s="20" t="s">
        <v>344</v>
      </c>
      <c r="D270" s="20"/>
      <c r="E270" s="18">
        <v>6</v>
      </c>
      <c r="F270" s="19" t="str">
        <f t="shared" si="8"/>
        <v>7</v>
      </c>
      <c r="G270" s="20">
        <v>701</v>
      </c>
      <c r="H270" s="20"/>
      <c r="I270" s="18">
        <v>15</v>
      </c>
      <c r="J270" s="18">
        <v>0</v>
      </c>
      <c r="K270" s="20"/>
      <c r="L270" s="20"/>
      <c r="M270" s="18"/>
      <c r="N270" s="18">
        <v>10</v>
      </c>
      <c r="O270" s="18">
        <v>4</v>
      </c>
      <c r="P270" s="20"/>
      <c r="Q270" s="20"/>
      <c r="R270" s="20"/>
      <c r="S270" s="20"/>
      <c r="T270" s="20" t="s">
        <v>332</v>
      </c>
      <c r="U270" s="18" t="s">
        <v>333</v>
      </c>
      <c r="V270" s="18"/>
      <c r="W270" s="18">
        <v>2</v>
      </c>
      <c r="X270" s="18" t="s">
        <v>92</v>
      </c>
      <c r="Y270" s="7" t="s">
        <v>339</v>
      </c>
      <c r="Z270" s="7">
        <v>20</v>
      </c>
      <c r="AA270" s="18" t="s">
        <v>79</v>
      </c>
      <c r="AB270" s="18">
        <v>0</v>
      </c>
      <c r="AC270" s="20">
        <v>2</v>
      </c>
      <c r="AD270" s="20"/>
    </row>
    <row r="271" spans="2:30">
      <c r="B271" s="20">
        <v>70107</v>
      </c>
      <c r="C271" s="20" t="s">
        <v>344</v>
      </c>
      <c r="D271" s="20"/>
      <c r="E271" s="18">
        <v>7</v>
      </c>
      <c r="F271" s="19" t="str">
        <f t="shared" si="8"/>
        <v>7</v>
      </c>
      <c r="G271" s="20">
        <v>701</v>
      </c>
      <c r="H271" s="20"/>
      <c r="I271" s="18">
        <v>21</v>
      </c>
      <c r="J271" s="18">
        <v>0</v>
      </c>
      <c r="K271" s="20"/>
      <c r="L271" s="20"/>
      <c r="M271" s="18"/>
      <c r="N271" s="18">
        <v>10</v>
      </c>
      <c r="O271" s="18">
        <v>4</v>
      </c>
      <c r="P271" s="20"/>
      <c r="Q271" s="20"/>
      <c r="R271" s="20"/>
      <c r="S271" s="20"/>
      <c r="T271" s="20" t="s">
        <v>332</v>
      </c>
      <c r="U271" s="18" t="s">
        <v>333</v>
      </c>
      <c r="V271" s="18"/>
      <c r="W271" s="18">
        <v>2</v>
      </c>
      <c r="X271" s="18" t="s">
        <v>92</v>
      </c>
      <c r="Y271" s="7" t="s">
        <v>340</v>
      </c>
      <c r="Z271" s="7">
        <v>25</v>
      </c>
      <c r="AA271" s="18" t="s">
        <v>79</v>
      </c>
      <c r="AB271" s="18">
        <v>0</v>
      </c>
      <c r="AC271" s="20">
        <v>2</v>
      </c>
      <c r="AD271" s="20"/>
    </row>
    <row r="272" spans="2:30">
      <c r="B272" s="20">
        <v>70108</v>
      </c>
      <c r="C272" s="20" t="s">
        <v>344</v>
      </c>
      <c r="D272" s="20"/>
      <c r="E272" s="18">
        <v>8</v>
      </c>
      <c r="F272" s="19" t="str">
        <f t="shared" si="8"/>
        <v>7</v>
      </c>
      <c r="G272" s="20">
        <v>701</v>
      </c>
      <c r="H272" s="20"/>
      <c r="I272" s="18">
        <v>22</v>
      </c>
      <c r="J272" s="18">
        <v>0</v>
      </c>
      <c r="K272" s="20"/>
      <c r="L272" s="20"/>
      <c r="M272" s="18"/>
      <c r="N272" s="18">
        <v>10</v>
      </c>
      <c r="O272" s="18">
        <v>4</v>
      </c>
      <c r="P272" s="20"/>
      <c r="Q272" s="20"/>
      <c r="R272" s="20"/>
      <c r="S272" s="20"/>
      <c r="T272" s="20" t="s">
        <v>332</v>
      </c>
      <c r="U272" s="18" t="s">
        <v>333</v>
      </c>
      <c r="V272" s="18"/>
      <c r="W272" s="18">
        <v>2</v>
      </c>
      <c r="X272" s="18" t="s">
        <v>92</v>
      </c>
      <c r="Y272" s="7" t="s">
        <v>341</v>
      </c>
      <c r="Z272" s="7">
        <v>30</v>
      </c>
      <c r="AA272" s="18" t="s">
        <v>79</v>
      </c>
      <c r="AB272" s="18">
        <v>0</v>
      </c>
      <c r="AC272" s="20">
        <v>2</v>
      </c>
      <c r="AD272" s="20"/>
    </row>
    <row r="273" spans="2:30">
      <c r="B273" s="20">
        <v>70109</v>
      </c>
      <c r="C273" s="20" t="s">
        <v>344</v>
      </c>
      <c r="D273" s="20"/>
      <c r="E273" s="18">
        <v>9</v>
      </c>
      <c r="F273" s="19" t="str">
        <f t="shared" si="8"/>
        <v>7</v>
      </c>
      <c r="G273" s="20">
        <v>701</v>
      </c>
      <c r="H273" s="20"/>
      <c r="I273" s="18">
        <v>27</v>
      </c>
      <c r="J273" s="18">
        <v>0</v>
      </c>
      <c r="K273" s="20"/>
      <c r="L273" s="20"/>
      <c r="M273" s="18"/>
      <c r="N273" s="18">
        <v>10</v>
      </c>
      <c r="O273" s="18">
        <v>4</v>
      </c>
      <c r="P273" s="20"/>
      <c r="Q273" s="20"/>
      <c r="R273" s="20"/>
      <c r="S273" s="20"/>
      <c r="T273" s="20" t="s">
        <v>332</v>
      </c>
      <c r="U273" s="18" t="s">
        <v>333</v>
      </c>
      <c r="V273" s="18"/>
      <c r="W273" s="18">
        <v>2</v>
      </c>
      <c r="X273" s="18" t="s">
        <v>92</v>
      </c>
      <c r="Y273" s="7" t="s">
        <v>342</v>
      </c>
      <c r="Z273" s="7">
        <v>35</v>
      </c>
      <c r="AA273" s="18" t="s">
        <v>79</v>
      </c>
      <c r="AB273" s="18">
        <v>0</v>
      </c>
      <c r="AC273" s="20">
        <v>2</v>
      </c>
      <c r="AD273" s="20"/>
    </row>
    <row r="274" spans="2:30">
      <c r="B274" s="20">
        <v>70110</v>
      </c>
      <c r="C274" s="20" t="s">
        <v>344</v>
      </c>
      <c r="D274" s="20"/>
      <c r="E274" s="18">
        <v>10</v>
      </c>
      <c r="F274" s="19" t="str">
        <f t="shared" si="8"/>
        <v>7</v>
      </c>
      <c r="G274" s="20">
        <v>701</v>
      </c>
      <c r="H274" s="20"/>
      <c r="I274" s="18">
        <v>33</v>
      </c>
      <c r="J274" s="18">
        <v>0</v>
      </c>
      <c r="K274" s="20"/>
      <c r="L274" s="20"/>
      <c r="M274" s="18"/>
      <c r="N274" s="18">
        <v>10</v>
      </c>
      <c r="O274" s="18">
        <v>4</v>
      </c>
      <c r="P274" s="20"/>
      <c r="Q274" s="20"/>
      <c r="R274" s="20"/>
      <c r="S274" s="20"/>
      <c r="T274" s="20" t="s">
        <v>332</v>
      </c>
      <c r="U274" s="18" t="s">
        <v>333</v>
      </c>
      <c r="V274" s="18"/>
      <c r="W274" s="18">
        <v>2</v>
      </c>
      <c r="X274" s="18" t="s">
        <v>92</v>
      </c>
      <c r="Y274" s="7" t="s">
        <v>343</v>
      </c>
      <c r="Z274" s="7">
        <v>40</v>
      </c>
      <c r="AA274" s="18" t="s">
        <v>79</v>
      </c>
      <c r="AB274" s="18">
        <v>0</v>
      </c>
      <c r="AC274" s="20">
        <v>2</v>
      </c>
      <c r="AD274" s="20"/>
    </row>
  </sheetData>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296"/>
  <sheetViews>
    <sheetView topLeftCell="A22" workbookViewId="0">
      <selection activeCell="K23" sqref="K23:K296"/>
    </sheetView>
  </sheetViews>
  <sheetFormatPr defaultColWidth="9" defaultRowHeight="13.5"/>
  <sheetData>
    <row r="1" ht="27" spans="1:19">
      <c r="A1" s="1" t="s">
        <v>345</v>
      </c>
      <c r="B1" s="1" t="s">
        <v>346</v>
      </c>
      <c r="C1" s="1" t="s">
        <v>347</v>
      </c>
      <c r="D1" s="1" t="s">
        <v>348</v>
      </c>
      <c r="E1" s="1" t="s">
        <v>349</v>
      </c>
      <c r="F1" s="1" t="s">
        <v>350</v>
      </c>
      <c r="G1" s="1" t="s">
        <v>351</v>
      </c>
      <c r="H1" s="1" t="s">
        <v>352</v>
      </c>
      <c r="I1" s="1" t="s">
        <v>353</v>
      </c>
      <c r="K1" s="2">
        <v>20001</v>
      </c>
      <c r="L1" s="2" t="s">
        <v>354</v>
      </c>
      <c r="M1" s="2">
        <v>31001</v>
      </c>
      <c r="N1" s="2" t="s">
        <v>355</v>
      </c>
      <c r="O1" t="s">
        <v>356</v>
      </c>
      <c r="S1" t="str">
        <f>K5&amp;";"&amp;"3"&amp;"|"&amp;K8&amp;";"&amp;"2"&amp;"|"&amp;K7&amp;";"&amp;1&amp;"|"&amp;K1&amp;";"&amp;"1"</f>
        <v>30001;3|30004;2|30003;1|20001;1</v>
      </c>
    </row>
    <row r="2" ht="14.25" spans="1:19">
      <c r="A2" s="1">
        <v>1</v>
      </c>
      <c r="B2" s="3">
        <v>20</v>
      </c>
      <c r="C2" s="3">
        <v>20</v>
      </c>
      <c r="D2" s="3">
        <v>20</v>
      </c>
      <c r="E2" s="3">
        <v>10</v>
      </c>
      <c r="F2" s="3">
        <v>8</v>
      </c>
      <c r="G2" s="3">
        <v>12</v>
      </c>
      <c r="H2" s="3">
        <v>10</v>
      </c>
      <c r="I2" s="3">
        <v>10</v>
      </c>
      <c r="K2" s="2">
        <v>20002</v>
      </c>
      <c r="L2" s="2" t="s">
        <v>357</v>
      </c>
      <c r="M2" s="2">
        <v>31002</v>
      </c>
      <c r="N2" s="2" t="s">
        <v>358</v>
      </c>
      <c r="O2" t="s">
        <v>359</v>
      </c>
      <c r="S2" t="str">
        <f>K5&amp;";"&amp;"2"&amp;"|"&amp;K7&amp;";"&amp;"1"&amp;"|"&amp;K1&amp;";"&amp;1</f>
        <v>30001;2|30003;1|20001;1</v>
      </c>
    </row>
    <row r="3" ht="14.25" spans="1:19">
      <c r="A3" s="1">
        <v>2</v>
      </c>
      <c r="B3" s="3">
        <v>22</v>
      </c>
      <c r="C3" s="3">
        <v>22</v>
      </c>
      <c r="D3" s="3">
        <v>22</v>
      </c>
      <c r="E3" s="3">
        <v>11</v>
      </c>
      <c r="F3" s="3">
        <v>9</v>
      </c>
      <c r="G3" s="3">
        <v>13</v>
      </c>
      <c r="H3" s="3">
        <v>11</v>
      </c>
      <c r="I3" s="3">
        <v>11</v>
      </c>
      <c r="K3" s="2">
        <v>50001</v>
      </c>
      <c r="L3" s="2" t="s">
        <v>360</v>
      </c>
      <c r="M3" s="2">
        <v>31003</v>
      </c>
      <c r="N3" s="2" t="s">
        <v>361</v>
      </c>
      <c r="O3" t="s">
        <v>362</v>
      </c>
      <c r="S3" t="str">
        <f>K5&amp;";"&amp;"4"&amp;"|"&amp;K8&amp;";"&amp;"2"&amp;"|"&amp;K7&amp;";"&amp;1&amp;"|"&amp;K1&amp;";"&amp;"2"</f>
        <v>30001;4|30004;2|30003;1|20001;2</v>
      </c>
    </row>
    <row r="4" ht="14.25" spans="1:19">
      <c r="A4" s="1">
        <v>3</v>
      </c>
      <c r="B4" s="3">
        <v>24</v>
      </c>
      <c r="C4" s="3">
        <v>24</v>
      </c>
      <c r="D4" s="3">
        <v>24</v>
      </c>
      <c r="E4" s="3">
        <v>12</v>
      </c>
      <c r="F4" s="3">
        <v>9</v>
      </c>
      <c r="G4" s="3">
        <v>14</v>
      </c>
      <c r="H4" s="3">
        <v>12</v>
      </c>
      <c r="I4" s="3">
        <v>12</v>
      </c>
      <c r="K4" s="2">
        <v>50002</v>
      </c>
      <c r="L4" s="2" t="s">
        <v>363</v>
      </c>
      <c r="M4" s="2">
        <v>31004</v>
      </c>
      <c r="N4" s="2" t="s">
        <v>364</v>
      </c>
      <c r="O4" t="s">
        <v>365</v>
      </c>
      <c r="S4" t="str">
        <f>K5&amp;";"&amp;"1"&amp;"|"&amp;K7&amp;";"&amp;"1"&amp;"|"&amp;K1&amp;";"&amp;1</f>
        <v>30001;1|30003;1|20001;1</v>
      </c>
    </row>
    <row r="5" ht="14.25" spans="1:19">
      <c r="A5" s="1">
        <v>4</v>
      </c>
      <c r="B5" s="3">
        <v>26</v>
      </c>
      <c r="C5" s="3">
        <v>26</v>
      </c>
      <c r="D5" s="3">
        <v>26</v>
      </c>
      <c r="E5" s="3">
        <v>13</v>
      </c>
      <c r="F5" s="3">
        <v>10</v>
      </c>
      <c r="G5" s="3">
        <v>15</v>
      </c>
      <c r="H5" s="3">
        <v>13</v>
      </c>
      <c r="I5" s="3">
        <v>13</v>
      </c>
      <c r="K5" s="2">
        <v>30001</v>
      </c>
      <c r="L5" s="2" t="s">
        <v>366</v>
      </c>
      <c r="M5" s="2">
        <v>31005</v>
      </c>
      <c r="N5" s="2" t="s">
        <v>367</v>
      </c>
      <c r="O5" t="s">
        <v>368</v>
      </c>
      <c r="S5" t="str">
        <f>K6&amp;";"&amp;"3"&amp;"|"&amp;K7&amp;";"&amp;"1"&amp;"|"&amp;K1&amp;";"&amp;1</f>
        <v>30002;3|30003;1|20001;1</v>
      </c>
    </row>
    <row r="6" ht="14.25" spans="1:19">
      <c r="A6" s="1">
        <v>5</v>
      </c>
      <c r="B6" s="3">
        <v>28</v>
      </c>
      <c r="C6" s="3">
        <v>28</v>
      </c>
      <c r="D6" s="3">
        <v>28</v>
      </c>
      <c r="E6" s="3">
        <v>14</v>
      </c>
      <c r="F6" s="3">
        <v>11</v>
      </c>
      <c r="G6" s="3">
        <v>16</v>
      </c>
      <c r="H6" s="3">
        <v>14</v>
      </c>
      <c r="I6" s="3">
        <v>14</v>
      </c>
      <c r="K6" s="2">
        <v>30002</v>
      </c>
      <c r="L6" s="2" t="s">
        <v>369</v>
      </c>
      <c r="M6" s="2">
        <v>31006</v>
      </c>
      <c r="N6" s="2" t="s">
        <v>370</v>
      </c>
      <c r="O6" t="s">
        <v>371</v>
      </c>
      <c r="S6" t="str">
        <f>K8&amp;";"&amp;"3"&amp;"|"&amp;K7&amp;";"&amp;"1"&amp;"|"&amp;K2&amp;";"&amp;1&amp;"|"&amp;K1&amp;";"&amp;"1"</f>
        <v>30004;3|30003;1|20002;1|20001;1</v>
      </c>
    </row>
    <row r="7" ht="14.25" spans="1:19">
      <c r="A7" s="1">
        <v>6</v>
      </c>
      <c r="B7" s="3">
        <v>30</v>
      </c>
      <c r="C7" s="3">
        <v>30</v>
      </c>
      <c r="D7" s="3">
        <v>30</v>
      </c>
      <c r="E7" s="3">
        <v>15</v>
      </c>
      <c r="F7" s="3">
        <v>12</v>
      </c>
      <c r="G7" s="3">
        <v>18</v>
      </c>
      <c r="H7" s="3">
        <v>15</v>
      </c>
      <c r="I7" s="3">
        <v>15</v>
      </c>
      <c r="K7" s="2">
        <v>30003</v>
      </c>
      <c r="L7" s="2" t="s">
        <v>372</v>
      </c>
    </row>
    <row r="8" ht="14.25" spans="1:19">
      <c r="A8" s="1">
        <v>7</v>
      </c>
      <c r="B8" s="3">
        <v>32</v>
      </c>
      <c r="C8" s="3">
        <v>32</v>
      </c>
      <c r="D8" s="3">
        <v>32</v>
      </c>
      <c r="E8" s="3">
        <v>16</v>
      </c>
      <c r="F8" s="3">
        <v>12</v>
      </c>
      <c r="G8" s="3">
        <v>19</v>
      </c>
      <c r="H8" s="3">
        <v>16</v>
      </c>
      <c r="I8" s="3">
        <v>16</v>
      </c>
      <c r="K8" s="2">
        <v>30004</v>
      </c>
      <c r="L8" s="2" t="s">
        <v>373</v>
      </c>
    </row>
    <row r="9" ht="14.25" spans="1:19">
      <c r="A9" s="1">
        <v>8</v>
      </c>
      <c r="B9" s="3">
        <v>34</v>
      </c>
      <c r="C9" s="3">
        <v>34</v>
      </c>
      <c r="D9" s="3">
        <v>34</v>
      </c>
      <c r="E9" s="3">
        <v>17</v>
      </c>
      <c r="F9" s="3">
        <v>13</v>
      </c>
      <c r="G9" s="3">
        <v>20</v>
      </c>
      <c r="H9" s="3">
        <v>17</v>
      </c>
      <c r="I9" s="3">
        <v>17</v>
      </c>
      <c r="K9" s="2">
        <v>30005</v>
      </c>
      <c r="L9" s="2" t="s">
        <v>374</v>
      </c>
    </row>
    <row r="10" ht="14.25" spans="1:19">
      <c r="A10" s="1">
        <v>9</v>
      </c>
      <c r="B10" s="3">
        <v>36</v>
      </c>
      <c r="C10" s="3">
        <v>36</v>
      </c>
      <c r="D10" s="3">
        <v>36</v>
      </c>
      <c r="E10" s="3">
        <v>18</v>
      </c>
      <c r="F10" s="3">
        <v>14</v>
      </c>
      <c r="G10" s="3">
        <v>21</v>
      </c>
      <c r="H10" s="3">
        <v>18</v>
      </c>
      <c r="I10" s="3">
        <v>18</v>
      </c>
      <c r="K10" s="2">
        <v>50001</v>
      </c>
      <c r="L10" s="2" t="s">
        <v>360</v>
      </c>
      <c r="N10" t="s">
        <v>375</v>
      </c>
    </row>
    <row r="11" ht="14.25" spans="1:19">
      <c r="A11" s="1">
        <v>10</v>
      </c>
      <c r="B11" s="1">
        <v>38</v>
      </c>
      <c r="C11" s="1">
        <v>38</v>
      </c>
      <c r="D11" s="1">
        <v>38</v>
      </c>
      <c r="E11" s="1">
        <v>19</v>
      </c>
      <c r="F11" s="1">
        <v>15</v>
      </c>
      <c r="G11" s="1">
        <v>22</v>
      </c>
      <c r="H11" s="1">
        <v>19</v>
      </c>
      <c r="I11" s="1">
        <v>19</v>
      </c>
      <c r="K11" s="2">
        <v>50002</v>
      </c>
      <c r="L11" s="2" t="s">
        <v>363</v>
      </c>
      <c r="N11" t="s">
        <v>376</v>
      </c>
    </row>
    <row r="12" ht="14.25" spans="1:19">
      <c r="K12" s="2">
        <v>50003</v>
      </c>
      <c r="L12" s="2" t="s">
        <v>377</v>
      </c>
      <c r="N12" t="s">
        <v>378</v>
      </c>
    </row>
    <row r="13" spans="1:19">
      <c r="N13" t="s">
        <v>379</v>
      </c>
    </row>
    <row r="14" spans="1:19">
      <c r="N14" t="s">
        <v>380</v>
      </c>
    </row>
    <row r="15" spans="1:19">
      <c r="B15" t="str">
        <f>$K$2&amp;";"&amp;B2</f>
        <v>20002;20</v>
      </c>
      <c r="C15" t="str">
        <f>$K$1&amp;";"&amp;C2</f>
        <v>20001;20</v>
      </c>
      <c r="D15" t="str">
        <f t="shared" ref="D15:D24" si="0">$K$5&amp;";"&amp;D2&amp;"|"&amp;$K$6&amp;";"&amp;E2&amp;"|"&amp;$K$7&amp;";"&amp;F2</f>
        <v>30001;20|30002;10|30003;8</v>
      </c>
      <c r="G15" t="str">
        <f>$K$8&amp;";"&amp;G2&amp;"|"&amp;$K$9&amp;";"&amp;H2</f>
        <v>30004;12|30005;10</v>
      </c>
      <c r="N15" t="s">
        <v>381</v>
      </c>
    </row>
    <row r="16" spans="1:19">
      <c r="B16" t="str">
        <f t="shared" ref="B16:B24" si="1">$K$2&amp;";"&amp;B3</f>
        <v>20002;22</v>
      </c>
      <c r="C16" t="str">
        <f t="shared" ref="C16:C24" si="2">$K$1&amp;";"&amp;C3</f>
        <v>20001;22</v>
      </c>
      <c r="D16" t="str">
        <f t="shared" si="0"/>
        <v>30001;22|30002;11|30003;9</v>
      </c>
      <c r="G16" t="str">
        <f t="shared" ref="G16:G24" si="3">$K$8&amp;";"&amp;G3&amp;"|"&amp;$K$9&amp;";"&amp;H3</f>
        <v>30004;13|30005;11</v>
      </c>
    </row>
    <row r="17" spans="1:11">
      <c r="B17" t="str">
        <f t="shared" si="1"/>
        <v>20002;24</v>
      </c>
      <c r="C17" t="str">
        <f t="shared" si="2"/>
        <v>20001;24</v>
      </c>
      <c r="D17" t="str">
        <f t="shared" si="0"/>
        <v>30001;24|30002;12|30003;9</v>
      </c>
      <c r="G17" t="str">
        <f t="shared" si="3"/>
        <v>30004;14|30005;12</v>
      </c>
    </row>
    <row r="18" spans="1:11">
      <c r="B18" t="str">
        <f t="shared" si="1"/>
        <v>20002;26</v>
      </c>
      <c r="C18" t="str">
        <f t="shared" si="2"/>
        <v>20001;26</v>
      </c>
      <c r="D18" t="str">
        <f t="shared" si="0"/>
        <v>30001;26|30002;13|30003;10</v>
      </c>
      <c r="G18" t="str">
        <f t="shared" si="3"/>
        <v>30004;15|30005;13</v>
      </c>
    </row>
    <row r="19" spans="1:11">
      <c r="B19" t="str">
        <f t="shared" si="1"/>
        <v>20002;28</v>
      </c>
      <c r="C19" t="str">
        <f t="shared" si="2"/>
        <v>20001;28</v>
      </c>
      <c r="D19" t="str">
        <f t="shared" si="0"/>
        <v>30001;28|30002;14|30003;11</v>
      </c>
      <c r="G19" t="str">
        <f t="shared" si="3"/>
        <v>30004;16|30005;14</v>
      </c>
    </row>
    <row r="20" spans="1:11">
      <c r="B20" t="str">
        <f t="shared" si="1"/>
        <v>20002;30</v>
      </c>
      <c r="C20" t="str">
        <f t="shared" si="2"/>
        <v>20001;30</v>
      </c>
      <c r="D20" t="str">
        <f t="shared" si="0"/>
        <v>30001;30|30002;15|30003;12</v>
      </c>
      <c r="G20" t="str">
        <f t="shared" si="3"/>
        <v>30004;18|30005;15</v>
      </c>
    </row>
    <row r="21" spans="1:11">
      <c r="B21" t="str">
        <f t="shared" si="1"/>
        <v>20002;32</v>
      </c>
      <c r="C21" t="str">
        <f t="shared" si="2"/>
        <v>20001;32</v>
      </c>
      <c r="D21" t="str">
        <f t="shared" si="0"/>
        <v>30001;32|30002;16|30003;12</v>
      </c>
      <c r="G21" t="str">
        <f t="shared" si="3"/>
        <v>30004;19|30005;16</v>
      </c>
    </row>
    <row r="22" spans="1:11">
      <c r="B22" t="str">
        <f t="shared" si="1"/>
        <v>20002;34</v>
      </c>
      <c r="C22" t="str">
        <f t="shared" si="2"/>
        <v>20001;34</v>
      </c>
      <c r="D22" t="str">
        <f t="shared" si="0"/>
        <v>30001;34|30002;17|30003;13</v>
      </c>
      <c r="G22" t="str">
        <f t="shared" si="3"/>
        <v>30004;20|30005;17</v>
      </c>
    </row>
    <row r="23" ht="16.5" spans="1:11">
      <c r="B23" t="str">
        <f t="shared" si="1"/>
        <v>20002;36</v>
      </c>
      <c r="C23" t="str">
        <f t="shared" si="2"/>
        <v>20001;36</v>
      </c>
      <c r="D23" t="str">
        <f t="shared" si="0"/>
        <v>30001;36|30002;18|30003;14</v>
      </c>
      <c r="G23" t="str">
        <f t="shared" si="3"/>
        <v>30004;21|30005;18</v>
      </c>
      <c r="K23" s="4" t="s">
        <v>25</v>
      </c>
    </row>
    <row r="24" ht="16.5" spans="1:11">
      <c r="B24" t="str">
        <f t="shared" si="1"/>
        <v>20002;38</v>
      </c>
      <c r="C24" t="str">
        <f t="shared" si="2"/>
        <v>20001;38</v>
      </c>
      <c r="D24" t="str">
        <f t="shared" si="0"/>
        <v>30001;38|30002;19|30003;15</v>
      </c>
      <c r="G24" t="str">
        <f t="shared" si="3"/>
        <v>30004;22|30005;19</v>
      </c>
      <c r="K24" s="4" t="s">
        <v>55</v>
      </c>
    </row>
    <row r="25" ht="16.5" spans="1:11">
      <c r="K25" s="5" t="s">
        <v>61</v>
      </c>
    </row>
    <row r="26" ht="16.5" spans="1:11">
      <c r="K26" s="4" t="s">
        <v>64</v>
      </c>
    </row>
    <row r="27" ht="16.5" spans="1:11">
      <c r="K27" s="6">
        <v>282</v>
      </c>
    </row>
    <row r="28" ht="16.5" spans="1:11">
      <c r="K28" s="7">
        <v>874</v>
      </c>
    </row>
    <row r="29" ht="16.5" spans="1:11">
      <c r="A29">
        <v>1</v>
      </c>
      <c r="B29" t="s">
        <v>382</v>
      </c>
      <c r="C29" t="s">
        <v>383</v>
      </c>
      <c r="K29" s="7">
        <v>1807</v>
      </c>
    </row>
    <row r="30" ht="16.5" spans="1:11">
      <c r="A30">
        <v>2</v>
      </c>
      <c r="B30" t="s">
        <v>384</v>
      </c>
      <c r="C30" t="s">
        <v>385</v>
      </c>
      <c r="K30" s="7">
        <v>3179</v>
      </c>
    </row>
    <row r="31" ht="16.5" spans="1:11">
      <c r="A31">
        <v>3</v>
      </c>
      <c r="B31" t="s">
        <v>386</v>
      </c>
      <c r="C31" t="s">
        <v>387</v>
      </c>
      <c r="K31" s="7">
        <v>3836</v>
      </c>
    </row>
    <row r="32" ht="16.5" spans="1:11">
      <c r="A32">
        <v>4</v>
      </c>
      <c r="B32" t="s">
        <v>388</v>
      </c>
      <c r="C32" t="s">
        <v>389</v>
      </c>
      <c r="K32" s="7">
        <v>5153</v>
      </c>
    </row>
    <row r="33" ht="16.5" spans="1:11">
      <c r="A33">
        <v>5</v>
      </c>
      <c r="B33" t="s">
        <v>390</v>
      </c>
      <c r="C33" t="s">
        <v>391</v>
      </c>
      <c r="K33" s="7">
        <v>6930</v>
      </c>
    </row>
    <row r="34" ht="16.5" spans="1:11">
      <c r="A34">
        <v>6</v>
      </c>
      <c r="B34" t="s">
        <v>392</v>
      </c>
      <c r="C34" t="s">
        <v>393</v>
      </c>
      <c r="K34" s="7">
        <v>7479</v>
      </c>
    </row>
    <row r="35" ht="16.5" spans="1:11">
      <c r="A35">
        <v>7</v>
      </c>
      <c r="B35" t="s">
        <v>394</v>
      </c>
      <c r="C35" t="s">
        <v>395</v>
      </c>
      <c r="K35" s="7">
        <v>8965</v>
      </c>
    </row>
    <row r="36" ht="16.5" spans="1:11">
      <c r="C36" t="s">
        <v>396</v>
      </c>
      <c r="K36" s="7">
        <v>10956</v>
      </c>
    </row>
    <row r="37" ht="16.5" spans="1:11">
      <c r="C37" t="s">
        <v>397</v>
      </c>
      <c r="K37" s="7">
        <v>141</v>
      </c>
    </row>
    <row r="38" ht="16.5" spans="1:11">
      <c r="C38" t="s">
        <v>398</v>
      </c>
      <c r="K38" s="7">
        <v>437</v>
      </c>
    </row>
    <row r="39" ht="16.5" spans="1:11">
      <c r="C39" t="s">
        <v>399</v>
      </c>
      <c r="K39" s="7">
        <v>903</v>
      </c>
    </row>
    <row r="40" ht="16.5" spans="1:11">
      <c r="C40" t="s">
        <v>400</v>
      </c>
      <c r="K40" s="7">
        <v>1589</v>
      </c>
    </row>
    <row r="41" ht="16.5" spans="1:11">
      <c r="C41" t="s">
        <v>401</v>
      </c>
      <c r="K41" s="7">
        <v>1918</v>
      </c>
    </row>
    <row r="42" ht="16.5" spans="1:11">
      <c r="C42" t="s">
        <v>402</v>
      </c>
      <c r="K42" s="7">
        <v>2576</v>
      </c>
    </row>
    <row r="43" ht="16.5" spans="1:11">
      <c r="K43" s="7">
        <v>3465</v>
      </c>
    </row>
    <row r="44" ht="16.5" spans="1:11">
      <c r="K44" s="7">
        <v>3740</v>
      </c>
    </row>
    <row r="45" ht="16.5" spans="1:11">
      <c r="K45" s="7">
        <v>4482</v>
      </c>
    </row>
    <row r="46" ht="16.5" spans="1:11">
      <c r="K46" s="7">
        <v>5478</v>
      </c>
    </row>
    <row r="47" ht="16.5" spans="1:11">
      <c r="K47" s="7">
        <v>113</v>
      </c>
    </row>
    <row r="48" ht="16.5" spans="1:11">
      <c r="K48" s="7">
        <v>350</v>
      </c>
    </row>
    <row r="49" ht="16.5" spans="11:11">
      <c r="K49" s="7">
        <v>723</v>
      </c>
    </row>
    <row r="50" ht="16.5" spans="11:11">
      <c r="K50" s="7">
        <v>1271</v>
      </c>
    </row>
    <row r="51" ht="16.5" spans="11:11">
      <c r="K51" s="7">
        <v>1534</v>
      </c>
    </row>
    <row r="52" ht="16.5" spans="11:11">
      <c r="K52" s="7">
        <v>2061</v>
      </c>
    </row>
    <row r="53" ht="16.5" spans="11:11">
      <c r="K53" s="7">
        <v>2772</v>
      </c>
    </row>
    <row r="54" ht="16.5" spans="11:11">
      <c r="K54" s="7">
        <v>2992</v>
      </c>
    </row>
    <row r="55" ht="16.5" spans="11:11">
      <c r="K55" s="7">
        <v>3586</v>
      </c>
    </row>
    <row r="56" ht="16.5" spans="11:11">
      <c r="K56" s="7">
        <v>4382</v>
      </c>
    </row>
    <row r="57" ht="16.5" spans="11:11">
      <c r="K57" s="7">
        <v>113</v>
      </c>
    </row>
    <row r="58" ht="16.5" spans="11:11">
      <c r="K58" s="7">
        <v>350</v>
      </c>
    </row>
    <row r="59" ht="16.5" spans="11:11">
      <c r="K59" s="7">
        <v>723</v>
      </c>
    </row>
    <row r="60" ht="16.5" spans="11:11">
      <c r="K60" s="7">
        <v>1271</v>
      </c>
    </row>
    <row r="61" ht="16.5" spans="11:11">
      <c r="K61" s="7">
        <v>1534</v>
      </c>
    </row>
    <row r="62" ht="16.5" spans="11:11">
      <c r="K62" s="7">
        <v>2061</v>
      </c>
    </row>
    <row r="63" ht="16.5" spans="11:11">
      <c r="K63" s="7">
        <v>2772</v>
      </c>
    </row>
    <row r="64" ht="16.5" spans="11:11">
      <c r="K64" s="7">
        <v>2992</v>
      </c>
    </row>
    <row r="65" ht="16.5" spans="11:11">
      <c r="K65" s="7">
        <v>3586</v>
      </c>
    </row>
    <row r="66" ht="16.5" spans="11:11">
      <c r="K66" s="7">
        <v>4382</v>
      </c>
    </row>
    <row r="67" ht="16.5" spans="11:11">
      <c r="K67" s="7">
        <v>28</v>
      </c>
    </row>
    <row r="68" ht="16.5" spans="11:11">
      <c r="K68" s="7">
        <v>87</v>
      </c>
    </row>
    <row r="69" ht="16.5" spans="11:11">
      <c r="K69" s="7">
        <v>181</v>
      </c>
    </row>
    <row r="70" ht="16.5" spans="11:11">
      <c r="K70" s="7">
        <v>318</v>
      </c>
    </row>
    <row r="71" ht="16.5" spans="11:11">
      <c r="K71" s="7">
        <v>384</v>
      </c>
    </row>
    <row r="72" ht="16.5" spans="11:11">
      <c r="K72" s="7">
        <v>515</v>
      </c>
    </row>
    <row r="73" ht="16.5" spans="11:11">
      <c r="K73" s="7">
        <v>693</v>
      </c>
    </row>
    <row r="74" ht="16.5" spans="11:11">
      <c r="K74" s="7">
        <v>748</v>
      </c>
    </row>
    <row r="75" ht="16.5" spans="11:11">
      <c r="K75" s="7">
        <v>896</v>
      </c>
    </row>
    <row r="76" ht="16.5" spans="11:11">
      <c r="K76" s="7">
        <v>1096</v>
      </c>
    </row>
    <row r="77" ht="16.5" spans="11:11">
      <c r="K77" s="7">
        <v>42</v>
      </c>
    </row>
    <row r="78" ht="16.5" spans="11:11">
      <c r="K78" s="7">
        <v>131</v>
      </c>
    </row>
    <row r="79" ht="16.5" spans="11:11">
      <c r="K79" s="7">
        <v>271</v>
      </c>
    </row>
    <row r="80" ht="16.5" spans="11:11">
      <c r="K80" s="7">
        <v>477</v>
      </c>
    </row>
    <row r="81" ht="16.5" spans="11:11">
      <c r="K81" s="7">
        <v>575</v>
      </c>
    </row>
    <row r="82" ht="16.5" spans="11:11">
      <c r="K82" s="7">
        <v>773</v>
      </c>
    </row>
    <row r="83" ht="16.5" spans="11:11">
      <c r="K83" s="7">
        <v>1039</v>
      </c>
    </row>
    <row r="84" ht="16.5" spans="11:11">
      <c r="K84" s="7">
        <v>1122</v>
      </c>
    </row>
    <row r="85" ht="16.5" spans="11:11">
      <c r="K85" s="7">
        <v>1345</v>
      </c>
    </row>
    <row r="86" ht="16.5" spans="11:11">
      <c r="K86" s="7">
        <v>1643</v>
      </c>
    </row>
    <row r="87" ht="16.5" spans="11:11">
      <c r="K87" s="7">
        <v>42</v>
      </c>
    </row>
    <row r="88" ht="16.5" spans="11:11">
      <c r="K88" s="7">
        <v>131</v>
      </c>
    </row>
    <row r="89" ht="16.5" spans="11:11">
      <c r="K89" s="7">
        <v>271</v>
      </c>
    </row>
    <row r="90" ht="16.5" spans="11:11">
      <c r="K90" s="7">
        <v>477</v>
      </c>
    </row>
    <row r="91" ht="16.5" spans="11:11">
      <c r="K91" s="7">
        <v>575</v>
      </c>
    </row>
    <row r="92" ht="16.5" spans="11:11">
      <c r="K92" s="7">
        <v>773</v>
      </c>
    </row>
    <row r="93" ht="16.5" spans="11:11">
      <c r="K93" s="7">
        <v>1039</v>
      </c>
    </row>
    <row r="94" ht="16.5" spans="11:11">
      <c r="K94" s="7">
        <v>1122</v>
      </c>
    </row>
    <row r="95" ht="16.5" spans="11:11">
      <c r="K95" s="7">
        <v>1345</v>
      </c>
    </row>
    <row r="96" ht="16.5" spans="11:11">
      <c r="K96" s="7">
        <v>1643</v>
      </c>
    </row>
    <row r="97" ht="16.5" spans="11:11">
      <c r="K97" s="7">
        <v>28</v>
      </c>
    </row>
    <row r="98" ht="16.5" spans="11:11">
      <c r="K98" s="7">
        <v>87</v>
      </c>
    </row>
    <row r="99" ht="16.5" spans="11:11">
      <c r="K99" s="7">
        <v>181</v>
      </c>
    </row>
    <row r="100" ht="16.5" spans="11:11">
      <c r="K100" s="7">
        <v>318</v>
      </c>
    </row>
    <row r="101" ht="16.5" spans="11:11">
      <c r="K101" s="7">
        <v>384</v>
      </c>
    </row>
    <row r="102" ht="16.5" spans="11:11">
      <c r="K102" s="7">
        <v>515</v>
      </c>
    </row>
    <row r="103" ht="16.5" spans="11:11">
      <c r="K103" s="7">
        <v>693</v>
      </c>
    </row>
    <row r="104" ht="16.5" spans="11:11">
      <c r="K104" s="7">
        <v>748</v>
      </c>
    </row>
    <row r="105" ht="16.5" spans="11:11">
      <c r="K105" s="7">
        <v>896</v>
      </c>
    </row>
    <row r="106" ht="16.5" spans="11:11">
      <c r="K106" s="7">
        <v>1096</v>
      </c>
    </row>
    <row r="107" ht="16.5" spans="11:11">
      <c r="K107" s="7">
        <v>28</v>
      </c>
    </row>
    <row r="108" ht="16.5" spans="11:11">
      <c r="K108" s="7">
        <v>87</v>
      </c>
    </row>
    <row r="109" ht="16.5" spans="11:11">
      <c r="K109" s="7">
        <v>181</v>
      </c>
    </row>
    <row r="110" ht="16.5" spans="11:11">
      <c r="K110" s="7">
        <v>318</v>
      </c>
    </row>
    <row r="111" ht="16.5" spans="11:11">
      <c r="K111" s="7">
        <v>384</v>
      </c>
    </row>
    <row r="112" ht="16.5" spans="11:11">
      <c r="K112" s="7">
        <v>515</v>
      </c>
    </row>
    <row r="113" ht="16.5" spans="11:11">
      <c r="K113" s="7">
        <v>693</v>
      </c>
    </row>
    <row r="114" ht="16.5" spans="11:11">
      <c r="K114" s="7">
        <v>748</v>
      </c>
    </row>
    <row r="115" ht="16.5" spans="11:11">
      <c r="K115" s="7">
        <v>896</v>
      </c>
    </row>
    <row r="116" ht="16.5" spans="11:11">
      <c r="K116" s="7">
        <v>1096</v>
      </c>
    </row>
    <row r="117" ht="16.5" spans="11:11">
      <c r="K117" s="7">
        <v>28</v>
      </c>
    </row>
    <row r="118" ht="16.5" spans="11:11">
      <c r="K118" s="7">
        <v>87</v>
      </c>
    </row>
    <row r="119" ht="16.5" spans="11:11">
      <c r="K119" s="7">
        <v>181</v>
      </c>
    </row>
    <row r="120" ht="16.5" spans="11:11">
      <c r="K120" s="7">
        <v>318</v>
      </c>
    </row>
    <row r="121" ht="16.5" spans="11:11">
      <c r="K121" s="7">
        <v>384</v>
      </c>
    </row>
    <row r="122" ht="16.5" spans="11:11">
      <c r="K122" s="7">
        <v>515</v>
      </c>
    </row>
    <row r="123" ht="16.5" spans="11:11">
      <c r="K123" s="7">
        <v>693</v>
      </c>
    </row>
    <row r="124" ht="16.5" spans="11:11">
      <c r="K124" s="7">
        <v>748</v>
      </c>
    </row>
    <row r="125" ht="16.5" spans="11:11">
      <c r="K125" s="7">
        <v>896</v>
      </c>
    </row>
    <row r="126" ht="16.5" spans="11:11">
      <c r="K126" s="7">
        <v>1096</v>
      </c>
    </row>
    <row r="127" ht="16.5" spans="11:11">
      <c r="K127" s="7">
        <v>28</v>
      </c>
    </row>
    <row r="128" ht="16.5" spans="11:11">
      <c r="K128" s="7">
        <v>87</v>
      </c>
    </row>
    <row r="129" ht="16.5" spans="11:11">
      <c r="K129" s="7">
        <v>181</v>
      </c>
    </row>
    <row r="130" ht="16.5" spans="11:11">
      <c r="K130" s="7">
        <v>318</v>
      </c>
    </row>
    <row r="131" ht="16.5" spans="11:11">
      <c r="K131" s="7">
        <v>384</v>
      </c>
    </row>
    <row r="132" ht="16.5" spans="11:11">
      <c r="K132" s="7">
        <v>515</v>
      </c>
    </row>
    <row r="133" ht="16.5" spans="11:11">
      <c r="K133" s="7">
        <v>693</v>
      </c>
    </row>
    <row r="134" ht="16.5" spans="11:11">
      <c r="K134" s="7">
        <v>748</v>
      </c>
    </row>
    <row r="135" ht="16.5" spans="11:11">
      <c r="K135" s="7">
        <v>896</v>
      </c>
    </row>
    <row r="136" ht="16.5" spans="11:11">
      <c r="K136" s="7">
        <v>1096</v>
      </c>
    </row>
    <row r="137" ht="16.5" spans="11:11">
      <c r="K137" s="7">
        <v>35</v>
      </c>
    </row>
    <row r="138" ht="16.5" spans="11:11">
      <c r="K138" s="7">
        <v>109</v>
      </c>
    </row>
    <row r="139" ht="16.5" spans="11:11">
      <c r="K139" s="7">
        <v>226</v>
      </c>
    </row>
    <row r="140" ht="16.5" spans="11:11">
      <c r="K140" s="7">
        <v>397</v>
      </c>
    </row>
    <row r="141" ht="16.5" spans="11:11">
      <c r="K141" s="7">
        <v>479</v>
      </c>
    </row>
    <row r="142" ht="16.5" spans="11:11">
      <c r="K142" s="7">
        <v>644</v>
      </c>
    </row>
    <row r="143" ht="16.5" spans="11:11">
      <c r="K143" s="7">
        <v>866</v>
      </c>
    </row>
    <row r="144" ht="16.5" spans="11:11">
      <c r="K144" s="7">
        <v>935</v>
      </c>
    </row>
    <row r="145" ht="16.5" spans="11:11">
      <c r="K145" s="7">
        <v>1121</v>
      </c>
    </row>
    <row r="146" ht="16.5" spans="11:11">
      <c r="K146" s="7">
        <v>1369</v>
      </c>
    </row>
    <row r="147" ht="16.5" spans="11:11">
      <c r="K147" s="7">
        <v>35</v>
      </c>
    </row>
    <row r="148" ht="16.5" spans="11:11">
      <c r="K148" s="7">
        <v>109</v>
      </c>
    </row>
    <row r="149" ht="16.5" spans="11:11">
      <c r="K149" s="7">
        <v>226</v>
      </c>
    </row>
    <row r="150" ht="16.5" spans="11:11">
      <c r="K150" s="7">
        <v>397</v>
      </c>
    </row>
    <row r="151" ht="16.5" spans="11:11">
      <c r="K151" s="7">
        <v>479</v>
      </c>
    </row>
    <row r="152" ht="16.5" spans="11:11">
      <c r="K152" s="7">
        <v>644</v>
      </c>
    </row>
    <row r="153" ht="16.5" spans="11:11">
      <c r="K153" s="7">
        <v>866</v>
      </c>
    </row>
    <row r="154" ht="16.5" spans="11:11">
      <c r="K154" s="7">
        <v>935</v>
      </c>
    </row>
    <row r="155" ht="16.5" spans="11:11">
      <c r="K155" s="7">
        <v>1121</v>
      </c>
    </row>
    <row r="156" ht="16.5" spans="11:11">
      <c r="K156" s="7">
        <v>1369</v>
      </c>
    </row>
    <row r="157" ht="16.5" spans="11:11">
      <c r="K157" s="7">
        <v>35</v>
      </c>
    </row>
    <row r="158" ht="16.5" spans="11:11">
      <c r="K158" s="7">
        <v>109</v>
      </c>
    </row>
    <row r="159" ht="16.5" spans="11:11">
      <c r="K159" s="7">
        <v>226</v>
      </c>
    </row>
    <row r="160" ht="16.5" spans="11:11">
      <c r="K160" s="7">
        <v>397</v>
      </c>
    </row>
    <row r="161" ht="16.5" spans="11:11">
      <c r="K161" s="7">
        <v>479</v>
      </c>
    </row>
    <row r="162" ht="16.5" spans="11:11">
      <c r="K162" s="7">
        <v>644</v>
      </c>
    </row>
    <row r="163" ht="16.5" spans="11:11">
      <c r="K163" s="7">
        <v>866</v>
      </c>
    </row>
    <row r="164" ht="16.5" spans="11:11">
      <c r="K164" s="7">
        <v>935</v>
      </c>
    </row>
    <row r="165" ht="16.5" spans="11:11">
      <c r="K165" s="7">
        <v>1121</v>
      </c>
    </row>
    <row r="166" ht="16.5" spans="11:11">
      <c r="K166" s="7">
        <v>1369</v>
      </c>
    </row>
    <row r="167" ht="16.5" spans="11:11">
      <c r="K167" s="7">
        <v>35</v>
      </c>
    </row>
    <row r="168" ht="16.5" spans="11:11">
      <c r="K168" s="7">
        <v>109</v>
      </c>
    </row>
    <row r="169" ht="16.5" spans="11:11">
      <c r="K169" s="7">
        <v>226</v>
      </c>
    </row>
    <row r="170" ht="16.5" spans="11:11">
      <c r="K170" s="7">
        <v>397</v>
      </c>
    </row>
    <row r="171" ht="16.5" spans="11:11">
      <c r="K171" s="7">
        <v>479</v>
      </c>
    </row>
    <row r="172" ht="16.5" spans="11:11">
      <c r="K172" s="7">
        <v>644</v>
      </c>
    </row>
    <row r="173" ht="16.5" spans="11:11">
      <c r="K173" s="7">
        <v>866</v>
      </c>
    </row>
    <row r="174" ht="16.5" spans="11:11">
      <c r="K174" s="7">
        <v>935</v>
      </c>
    </row>
    <row r="175" ht="16.5" spans="11:11">
      <c r="K175" s="7">
        <v>1121</v>
      </c>
    </row>
    <row r="176" ht="16.5" spans="11:11">
      <c r="K176" s="7">
        <v>1369</v>
      </c>
    </row>
    <row r="177" ht="16.5" spans="11:11">
      <c r="K177" s="7">
        <v>35</v>
      </c>
    </row>
    <row r="178" ht="16.5" spans="11:11">
      <c r="K178" s="7">
        <v>109</v>
      </c>
    </row>
    <row r="179" ht="16.5" spans="11:11">
      <c r="K179" s="7">
        <v>226</v>
      </c>
    </row>
    <row r="180" ht="16.5" spans="11:11">
      <c r="K180" s="7">
        <v>397</v>
      </c>
    </row>
    <row r="181" ht="16.5" spans="11:11">
      <c r="K181" s="7">
        <v>479</v>
      </c>
    </row>
    <row r="182" ht="16.5" spans="11:11">
      <c r="K182" s="7">
        <v>644</v>
      </c>
    </row>
    <row r="183" ht="16.5" spans="11:11">
      <c r="K183" s="7">
        <v>866</v>
      </c>
    </row>
    <row r="184" ht="16.5" spans="11:11">
      <c r="K184" s="7">
        <v>935</v>
      </c>
    </row>
    <row r="185" ht="16.5" spans="11:11">
      <c r="K185" s="7">
        <v>1121</v>
      </c>
    </row>
    <row r="186" ht="16.5" spans="11:11">
      <c r="K186" s="7">
        <v>1369</v>
      </c>
    </row>
    <row r="187" ht="16.5" spans="11:11">
      <c r="K187" s="7">
        <v>35</v>
      </c>
    </row>
    <row r="188" ht="16.5" spans="11:11">
      <c r="K188" s="7">
        <v>109</v>
      </c>
    </row>
    <row r="189" ht="16.5" spans="11:11">
      <c r="K189" s="7">
        <v>226</v>
      </c>
    </row>
    <row r="190" ht="16.5" spans="11:11">
      <c r="K190" s="7">
        <v>397</v>
      </c>
    </row>
    <row r="191" ht="16.5" spans="11:11">
      <c r="K191" s="7">
        <v>479</v>
      </c>
    </row>
    <row r="192" ht="16.5" spans="11:11">
      <c r="K192" s="7">
        <v>644</v>
      </c>
    </row>
    <row r="193" ht="16.5" spans="11:11">
      <c r="K193" s="7">
        <v>866</v>
      </c>
    </row>
    <row r="194" ht="16.5" spans="11:11">
      <c r="K194" s="7">
        <v>935</v>
      </c>
    </row>
    <row r="195" ht="16.5" spans="11:11">
      <c r="K195" s="7">
        <v>1121</v>
      </c>
    </row>
    <row r="196" ht="16.5" spans="11:11">
      <c r="K196" s="7">
        <v>1369</v>
      </c>
    </row>
    <row r="197" ht="16.5" spans="11:11">
      <c r="K197" s="7">
        <v>85</v>
      </c>
    </row>
    <row r="198" ht="16.5" spans="11:11">
      <c r="K198" s="7">
        <v>262</v>
      </c>
    </row>
    <row r="199" ht="16.5" spans="11:11">
      <c r="K199" s="7">
        <v>542</v>
      </c>
    </row>
    <row r="200" ht="16.5" spans="11:11">
      <c r="K200" s="7">
        <v>954</v>
      </c>
    </row>
    <row r="201" ht="16.5" spans="11:11">
      <c r="K201" s="7">
        <v>1151</v>
      </c>
    </row>
    <row r="202" ht="16.5" spans="11:11">
      <c r="K202" s="7">
        <v>1546</v>
      </c>
    </row>
    <row r="203" ht="16.5" spans="11:11">
      <c r="K203" s="7">
        <v>2079</v>
      </c>
    </row>
    <row r="204" ht="16.5" spans="11:11">
      <c r="K204" s="7">
        <v>2244</v>
      </c>
    </row>
    <row r="205" ht="16.5" spans="11:11">
      <c r="K205" s="7">
        <v>2689</v>
      </c>
    </row>
    <row r="206" ht="16.5" spans="11:11">
      <c r="K206" s="7">
        <v>3287</v>
      </c>
    </row>
    <row r="207" ht="16.5" spans="11:11">
      <c r="K207" s="7">
        <v>85</v>
      </c>
    </row>
    <row r="208" ht="16.5" spans="11:11">
      <c r="K208" s="7">
        <v>262</v>
      </c>
    </row>
    <row r="209" ht="16.5" spans="11:11">
      <c r="K209" s="7">
        <v>542</v>
      </c>
    </row>
    <row r="210" ht="16.5" spans="11:11">
      <c r="K210" s="7">
        <v>954</v>
      </c>
    </row>
    <row r="211" ht="16.5" spans="11:11">
      <c r="K211" s="7">
        <v>1151</v>
      </c>
    </row>
    <row r="212" ht="16.5" spans="11:11">
      <c r="K212" s="7">
        <v>1546</v>
      </c>
    </row>
    <row r="213" ht="16.5" spans="11:11">
      <c r="K213" s="7">
        <v>2079</v>
      </c>
    </row>
    <row r="214" ht="16.5" spans="11:11">
      <c r="K214" s="7">
        <v>2244</v>
      </c>
    </row>
    <row r="215" ht="16.5" spans="11:11">
      <c r="K215" s="7">
        <v>2689</v>
      </c>
    </row>
    <row r="216" ht="16.5" spans="11:11">
      <c r="K216" s="7">
        <v>3287</v>
      </c>
    </row>
    <row r="217" ht="16.5" spans="11:11">
      <c r="K217" s="7">
        <v>85</v>
      </c>
    </row>
    <row r="218" ht="16.5" spans="11:11">
      <c r="K218" s="7">
        <v>262</v>
      </c>
    </row>
    <row r="219" ht="16.5" spans="11:11">
      <c r="K219" s="7">
        <v>542</v>
      </c>
    </row>
    <row r="220" ht="16.5" spans="11:11">
      <c r="K220" s="7">
        <v>954</v>
      </c>
    </row>
    <row r="221" ht="16.5" spans="11:11">
      <c r="K221" s="7">
        <v>1151</v>
      </c>
    </row>
    <row r="222" ht="16.5" spans="11:11">
      <c r="K222" s="7">
        <v>1546</v>
      </c>
    </row>
    <row r="223" ht="16.5" spans="11:11">
      <c r="K223" s="7">
        <v>2079</v>
      </c>
    </row>
    <row r="224" ht="16.5" spans="11:11">
      <c r="K224" s="7">
        <v>2244</v>
      </c>
    </row>
    <row r="225" ht="16.5" spans="11:11">
      <c r="K225" s="7">
        <v>2689</v>
      </c>
    </row>
    <row r="226" ht="16.5" spans="11:11">
      <c r="K226" s="7">
        <v>3287</v>
      </c>
    </row>
    <row r="227" ht="16.5" spans="11:11">
      <c r="K227" s="7">
        <v>85</v>
      </c>
    </row>
    <row r="228" ht="16.5" spans="11:11">
      <c r="K228" s="7">
        <v>262</v>
      </c>
    </row>
    <row r="229" ht="16.5" spans="11:11">
      <c r="K229" s="7">
        <v>542</v>
      </c>
    </row>
    <row r="230" ht="16.5" spans="11:11">
      <c r="K230" s="7">
        <v>954</v>
      </c>
    </row>
    <row r="231" ht="16.5" spans="11:11">
      <c r="K231" s="7">
        <v>1151</v>
      </c>
    </row>
    <row r="232" ht="16.5" spans="11:11">
      <c r="K232" s="7">
        <v>1546</v>
      </c>
    </row>
    <row r="233" ht="16.5" spans="11:11">
      <c r="K233" s="7">
        <v>2079</v>
      </c>
    </row>
    <row r="234" ht="16.5" spans="11:11">
      <c r="K234" s="7">
        <v>2244</v>
      </c>
    </row>
    <row r="235" ht="16.5" spans="11:11">
      <c r="K235" s="7">
        <v>2689</v>
      </c>
    </row>
    <row r="236" ht="16.5" spans="11:11">
      <c r="K236" s="7">
        <v>3287</v>
      </c>
    </row>
    <row r="237" ht="16.5" spans="11:11">
      <c r="K237" s="7">
        <v>85</v>
      </c>
    </row>
    <row r="238" ht="16.5" spans="11:11">
      <c r="K238" s="7">
        <v>262</v>
      </c>
    </row>
    <row r="239" ht="16.5" spans="11:11">
      <c r="K239" s="7">
        <v>542</v>
      </c>
    </row>
    <row r="240" ht="16.5" spans="11:11">
      <c r="K240" s="7">
        <v>954</v>
      </c>
    </row>
    <row r="241" ht="16.5" spans="11:11">
      <c r="K241" s="7">
        <v>1151</v>
      </c>
    </row>
    <row r="242" ht="16.5" spans="11:11">
      <c r="K242" s="7">
        <v>1546</v>
      </c>
    </row>
    <row r="243" ht="16.5" spans="11:11">
      <c r="K243" s="7">
        <v>2079</v>
      </c>
    </row>
    <row r="244" ht="16.5" spans="11:11">
      <c r="K244" s="7">
        <v>2244</v>
      </c>
    </row>
    <row r="245" ht="16.5" spans="11:11">
      <c r="K245" s="7">
        <v>2689</v>
      </c>
    </row>
    <row r="246" ht="16.5" spans="11:11">
      <c r="K246" s="7">
        <v>3287</v>
      </c>
    </row>
    <row r="247" ht="16.5" spans="11:11">
      <c r="K247" s="7">
        <v>85</v>
      </c>
    </row>
    <row r="248" ht="16.5" spans="11:11">
      <c r="K248" s="7">
        <v>262</v>
      </c>
    </row>
    <row r="249" ht="16.5" spans="11:11">
      <c r="K249" s="7">
        <v>542</v>
      </c>
    </row>
    <row r="250" ht="16.5" spans="11:11">
      <c r="K250" s="7">
        <v>954</v>
      </c>
    </row>
    <row r="251" ht="16.5" spans="11:11">
      <c r="K251" s="7">
        <v>1151</v>
      </c>
    </row>
    <row r="252" ht="16.5" spans="11:11">
      <c r="K252" s="7">
        <v>1546</v>
      </c>
    </row>
    <row r="253" ht="16.5" spans="11:11">
      <c r="K253" s="7">
        <v>2079</v>
      </c>
    </row>
    <row r="254" ht="16.5" spans="11:11">
      <c r="K254" s="7">
        <v>2244</v>
      </c>
    </row>
    <row r="255" ht="16.5" spans="11:11">
      <c r="K255" s="7">
        <v>2689</v>
      </c>
    </row>
    <row r="256" ht="16.5" spans="11:11">
      <c r="K256" s="7">
        <v>3287</v>
      </c>
    </row>
    <row r="257" ht="16.5" spans="11:11">
      <c r="K257" s="7">
        <v>85</v>
      </c>
    </row>
    <row r="258" ht="16.5" spans="11:11">
      <c r="K258" s="7">
        <v>262</v>
      </c>
    </row>
    <row r="259" ht="16.5" spans="11:11">
      <c r="K259" s="7">
        <v>542</v>
      </c>
    </row>
    <row r="260" ht="16.5" spans="11:11">
      <c r="K260" s="7">
        <v>954</v>
      </c>
    </row>
    <row r="261" ht="16.5" spans="11:11">
      <c r="K261" s="7">
        <v>1151</v>
      </c>
    </row>
    <row r="262" ht="16.5" spans="11:11">
      <c r="K262" s="7">
        <v>1546</v>
      </c>
    </row>
    <row r="263" ht="16.5" spans="11:11">
      <c r="K263" s="7">
        <v>2079</v>
      </c>
    </row>
    <row r="264" ht="16.5" spans="11:11">
      <c r="K264" s="7">
        <v>2244</v>
      </c>
    </row>
    <row r="265" ht="16.5" spans="11:11">
      <c r="K265" s="7">
        <v>2689</v>
      </c>
    </row>
    <row r="266" ht="16.5" spans="11:11">
      <c r="K266" s="7">
        <v>3287</v>
      </c>
    </row>
    <row r="267" ht="16.5" spans="11:11">
      <c r="K267" s="7">
        <v>85</v>
      </c>
    </row>
    <row r="268" ht="16.5" spans="11:11">
      <c r="K268" s="7">
        <v>262</v>
      </c>
    </row>
    <row r="269" ht="16.5" spans="11:11">
      <c r="K269" s="7">
        <v>542</v>
      </c>
    </row>
    <row r="270" ht="16.5" spans="11:11">
      <c r="K270" s="7">
        <v>954</v>
      </c>
    </row>
    <row r="271" ht="16.5" spans="11:11">
      <c r="K271" s="7">
        <v>1151</v>
      </c>
    </row>
    <row r="272" ht="16.5" spans="11:11">
      <c r="K272" s="7">
        <v>1546</v>
      </c>
    </row>
    <row r="273" ht="16.5" spans="11:11">
      <c r="K273" s="7">
        <v>2079</v>
      </c>
    </row>
    <row r="274" ht="16.5" spans="11:11">
      <c r="K274" s="7">
        <v>2244</v>
      </c>
    </row>
    <row r="275" ht="16.5" spans="11:11">
      <c r="K275" s="7">
        <v>2689</v>
      </c>
    </row>
    <row r="276" ht="16.5" spans="11:11">
      <c r="K276" s="7">
        <v>3287</v>
      </c>
    </row>
    <row r="277" ht="16.5" spans="11:11">
      <c r="K277" s="7">
        <v>0</v>
      </c>
    </row>
    <row r="278" ht="16.5" spans="11:11">
      <c r="K278" s="7">
        <v>0</v>
      </c>
    </row>
    <row r="279" ht="16.5" spans="11:11">
      <c r="K279" s="7">
        <v>0</v>
      </c>
    </row>
    <row r="280" ht="16.5" spans="11:11">
      <c r="K280" s="7">
        <v>0</v>
      </c>
    </row>
    <row r="281" ht="16.5" spans="11:11">
      <c r="K281" s="7">
        <v>0</v>
      </c>
    </row>
    <row r="282" ht="16.5" spans="11:11">
      <c r="K282" s="7">
        <v>0</v>
      </c>
    </row>
    <row r="283" ht="16.5" spans="11:11">
      <c r="K283" s="7">
        <v>0</v>
      </c>
    </row>
    <row r="284" ht="16.5" spans="11:11">
      <c r="K284" s="7">
        <v>0</v>
      </c>
    </row>
    <row r="285" ht="16.5" spans="11:11">
      <c r="K285" s="7">
        <v>0</v>
      </c>
    </row>
    <row r="286" ht="16.5" spans="11:11">
      <c r="K286" s="7">
        <v>0</v>
      </c>
    </row>
    <row r="287" ht="16.5" spans="11:11">
      <c r="K287" s="7">
        <v>0</v>
      </c>
    </row>
    <row r="288" ht="16.5" spans="11:11">
      <c r="K288" s="7">
        <v>0</v>
      </c>
    </row>
    <row r="289" ht="16.5" spans="11:11">
      <c r="K289" s="7">
        <v>0</v>
      </c>
    </row>
    <row r="290" ht="16.5" spans="11:11">
      <c r="K290" s="7">
        <v>0</v>
      </c>
    </row>
    <row r="291" ht="16.5" spans="11:11">
      <c r="K291" s="7">
        <v>0</v>
      </c>
    </row>
    <row r="292" ht="16.5" spans="11:11">
      <c r="K292" s="7">
        <v>0</v>
      </c>
    </row>
    <row r="293" ht="16.5" spans="11:11">
      <c r="K293" s="7">
        <v>0</v>
      </c>
    </row>
    <row r="294" ht="16.5" spans="11:11">
      <c r="K294" s="7">
        <v>0</v>
      </c>
    </row>
    <row r="295" ht="16.5" spans="11:11">
      <c r="K295" s="7">
        <v>0</v>
      </c>
    </row>
    <row r="296" ht="16.5" spans="11:11">
      <c r="K296" s="7">
        <v>0</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辅助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潘恒凯</cp:lastModifiedBy>
  <dcterms:created xsi:type="dcterms:W3CDTF">2025-09-30T02:10:00Z</dcterms:created>
  <dcterms:modified xsi:type="dcterms:W3CDTF">2025-12-30T04:33:20Z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26758D473CA24031BEE3169D81A7AA61_11</vt:lpwstr>
  </property>
  <property fmtid="{D5CDD505-2E9C-101B-9397-08002B2CF9AE}" pid="3" name="KSOProductBuildVer">
    <vt:lpwstr>2052-12.1.0.24034</vt:lpwstr>
  </property>
  <property fmtid="{D5CDD505-2E9C-101B-9397-08002B2CF9AE}" pid="4" name="CalculationRule">
    <vt:i4>0</vt:i4>
  </property>
</Properties>
</file>